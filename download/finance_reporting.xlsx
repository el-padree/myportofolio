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OSHAN 24-25\3.Bendahara\4.Laporan lainya\"/>
    </mc:Choice>
  </mc:AlternateContent>
  <bookViews>
    <workbookView xWindow="0" yWindow="0" windowWidth="28770" windowHeight="11580"/>
  </bookViews>
  <sheets>
    <sheet name="Saldo Aktif Tahunan" sheetId="2" r:id="rId1"/>
    <sheet name="Draf" sheetId="7" r:id="rId2"/>
    <sheet name="LK Tahunan" sheetId="1" r:id="rId3"/>
    <sheet name="Peminjaman saldo aktif" sheetId="5" r:id="rId4"/>
    <sheet name="Rekapitulasi LK Program perQism" sheetId="6" r:id="rId5"/>
    <sheet name="kenangan bego-begonya" sheetId="3" r:id="rId6"/>
  </sheets>
  <definedNames>
    <definedName name="_xlnm.Print_Area" localSheetId="2">'LK Tahunan'!$A$1:$G$182</definedName>
    <definedName name="_xlnm.Print_Area" localSheetId="0">'Saldo Aktif Tahunan'!$A$2:$K$60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7" i="2" l="1"/>
  <c r="K55" i="2"/>
  <c r="K56" i="2"/>
  <c r="J13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" i="2"/>
  <c r="J55" i="2"/>
  <c r="J56" i="2"/>
  <c r="J57" i="2"/>
  <c r="J58" i="2"/>
  <c r="J59" i="2"/>
  <c r="J60" i="2"/>
  <c r="J61" i="2"/>
  <c r="J62" i="2"/>
  <c r="B49" i="2"/>
  <c r="K59" i="2" l="1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J8" i="2"/>
  <c r="J9" i="2"/>
  <c r="J10" i="2"/>
  <c r="J11" i="2"/>
  <c r="J12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63" i="2"/>
  <c r="J64" i="2"/>
  <c r="J65" i="2"/>
  <c r="J66" i="2"/>
  <c r="J67" i="2"/>
  <c r="J68" i="2"/>
  <c r="J69" i="2"/>
  <c r="J70" i="2"/>
  <c r="J71" i="2"/>
  <c r="J72" i="2"/>
  <c r="J73" i="2"/>
  <c r="J74" i="2"/>
  <c r="G5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8" i="2"/>
  <c r="K7" i="2"/>
  <c r="J7" i="2"/>
  <c r="B39" i="6" l="1"/>
  <c r="G3" i="6" l="1"/>
  <c r="B47" i="6" l="1"/>
  <c r="B57" i="2" l="1"/>
  <c r="H41" i="6"/>
  <c r="G41" i="6"/>
  <c r="B44" i="6" l="1"/>
  <c r="B46" i="6"/>
  <c r="B43" i="6"/>
  <c r="B42" i="6"/>
  <c r="B32" i="6"/>
  <c r="B28" i="6"/>
  <c r="B18" i="6"/>
  <c r="B14" i="6"/>
  <c r="B12" i="6"/>
  <c r="B3" i="6"/>
  <c r="H4" i="6" l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2" i="6"/>
  <c r="H43" i="6"/>
  <c r="H44" i="6"/>
  <c r="H45" i="6"/>
  <c r="H46" i="6"/>
  <c r="H47" i="6"/>
  <c r="H48" i="6"/>
  <c r="H49" i="6"/>
  <c r="H50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2" i="6"/>
  <c r="G43" i="6"/>
  <c r="G44" i="6"/>
  <c r="G45" i="6"/>
  <c r="G46" i="6"/>
  <c r="G47" i="6"/>
  <c r="G48" i="6"/>
  <c r="G49" i="6"/>
  <c r="G50" i="6"/>
  <c r="H3" i="6"/>
  <c r="N3" i="6" l="1"/>
  <c r="M3" i="6"/>
  <c r="E9" i="7" l="1"/>
  <c r="E7" i="7"/>
  <c r="E8" i="7"/>
  <c r="E3" i="7"/>
  <c r="E4" i="7"/>
  <c r="E5" i="7"/>
  <c r="E6" i="7"/>
  <c r="E2" i="7"/>
  <c r="E3" i="3" l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H5" i="2" l="1"/>
  <c r="F5" i="2"/>
  <c r="I4" i="2" s="1"/>
  <c r="B45" i="2" l="1"/>
  <c r="B30" i="2" l="1"/>
  <c r="G278" i="1" l="1"/>
  <c r="G279" i="1"/>
  <c r="G280" i="1"/>
  <c r="G281" i="1"/>
  <c r="B41" i="2" l="1"/>
  <c r="E4" i="5" l="1"/>
  <c r="E5" i="5"/>
  <c r="E6" i="5"/>
  <c r="E7" i="5"/>
  <c r="E8" i="5"/>
  <c r="E9" i="5"/>
  <c r="E10" i="5"/>
  <c r="E11" i="5"/>
  <c r="E12" i="5"/>
  <c r="E13" i="5"/>
  <c r="E14" i="5"/>
  <c r="E15" i="5"/>
  <c r="E3" i="5"/>
  <c r="E2" i="5"/>
  <c r="E2" i="1" l="1"/>
  <c r="F2" i="1"/>
  <c r="G2" i="1" s="1"/>
  <c r="H184" i="2" l="1"/>
  <c r="J28" i="1"/>
  <c r="B21" i="2" l="1"/>
  <c r="B18" i="2" l="1"/>
  <c r="B9" i="2"/>
  <c r="B7" i="2"/>
  <c r="E5" i="2" s="1"/>
  <c r="E2" i="3" l="1"/>
  <c r="G4" i="1" l="1"/>
  <c r="G5" i="1" s="1"/>
  <c r="G6" i="1" l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l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l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H182" i="1" l="1"/>
  <c r="G183" i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N38" i="2" l="1"/>
</calcChain>
</file>

<file path=xl/comments1.xml><?xml version="1.0" encoding="utf-8"?>
<comments xmlns="http://schemas.openxmlformats.org/spreadsheetml/2006/main">
  <authors>
    <author>USER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Bendahara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Data pada sel ini dan sel berikutnya tidak perlu di ubah</t>
        </r>
        <r>
          <rPr>
            <sz val="9"/>
            <color indexed="81"/>
            <rFont val="Tahoma"/>
            <family val="2"/>
          </rPr>
          <t xml:space="preserve">, karena sudah di input formula yang secara otomatis akan mengkalkulasikan nilai uang yang dimasukkan.
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Bendahara :
Data pada sel ini dan sel berikutnya tidak perlu di ubah</t>
        </r>
        <r>
          <rPr>
            <sz val="9"/>
            <color indexed="81"/>
            <rFont val="Tahoma"/>
            <family val="2"/>
          </rPr>
          <t xml:space="preserve">, karena sudah di input formula yang secara otomatis akan mengkalkulasikan nilai uang yang dimasukkan.
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Bendahara :
Data pada sel ini dan sel berikutnya tidak perlu di ubah</t>
        </r>
        <r>
          <rPr>
            <sz val="9"/>
            <color indexed="81"/>
            <rFont val="Tahoma"/>
            <family val="2"/>
          </rPr>
          <t xml:space="preserve">, karena sudah di input formula yang secara otomatis akan mengkalkulasikan nilai uang yang dimasukkan.
</t>
        </r>
      </text>
    </comment>
  </commentList>
</comments>
</file>

<file path=xl/sharedStrings.xml><?xml version="1.0" encoding="utf-8"?>
<sst xmlns="http://schemas.openxmlformats.org/spreadsheetml/2006/main" count="950" uniqueCount="343">
  <si>
    <t>Tanggal</t>
  </si>
  <si>
    <t>Keterangan</t>
  </si>
  <si>
    <t>Masuk</t>
  </si>
  <si>
    <t>Keluar</t>
  </si>
  <si>
    <t>Saldo</t>
  </si>
  <si>
    <t>Dana Proposal</t>
  </si>
  <si>
    <t>Kebutuhan Dekorasi</t>
  </si>
  <si>
    <t>Amplop 1 Pak</t>
  </si>
  <si>
    <t>Kebutuhan Logistik</t>
  </si>
  <si>
    <t>Konsumsi Tukang</t>
  </si>
  <si>
    <t>Panggung &amp;Sound System</t>
  </si>
  <si>
    <t>Banner</t>
  </si>
  <si>
    <t>Buah-buahan</t>
  </si>
  <si>
    <t>Print &amp; laminating</t>
  </si>
  <si>
    <t>Konsumsi Tukang Sound System</t>
  </si>
  <si>
    <t>Konsumsi Asatidz</t>
  </si>
  <si>
    <t>Air Mineral</t>
  </si>
  <si>
    <t>-</t>
  </si>
  <si>
    <r>
      <rPr>
        <b/>
        <sz val="11"/>
        <rFont val="Times New Roman"/>
        <family val="1"/>
      </rPr>
      <t>Pelantikan Oshan 2024/202</t>
    </r>
    <r>
      <rPr>
        <b/>
        <sz val="11"/>
        <color rgb="FF3F3F76"/>
        <rFont val="Times New Roman"/>
        <family val="1"/>
      </rPr>
      <t>5</t>
    </r>
  </si>
  <si>
    <t>Konsumsi Pegawai</t>
  </si>
  <si>
    <t>Konsumsi Panitia</t>
  </si>
  <si>
    <t>Rapat Kerja Oshan 2024/2025</t>
  </si>
  <si>
    <t>Acara &amp; Program</t>
  </si>
  <si>
    <t xml:space="preserve">Stempel </t>
  </si>
  <si>
    <t>Kertas Foto</t>
  </si>
  <si>
    <t>Cat Besi</t>
  </si>
  <si>
    <t>Thinner</t>
  </si>
  <si>
    <t>Engsel</t>
  </si>
  <si>
    <t>Semprotan</t>
  </si>
  <si>
    <t xml:space="preserve">Kuas ''4 </t>
  </si>
  <si>
    <t>Kuas ''2</t>
  </si>
  <si>
    <t>Gembok</t>
  </si>
  <si>
    <t>Penyampulan Al-qur'an</t>
  </si>
  <si>
    <t>Karton Warna</t>
  </si>
  <si>
    <t xml:space="preserve">Dana Proposal </t>
  </si>
  <si>
    <t>Sampul Plastik</t>
  </si>
  <si>
    <t>1Pak Karton</t>
  </si>
  <si>
    <t>Gunting</t>
  </si>
  <si>
    <t>Solasi</t>
  </si>
  <si>
    <t>Stempel Qism Lughoh</t>
  </si>
  <si>
    <t>Seminar Fotografi</t>
  </si>
  <si>
    <t>Intensif Pemateri</t>
  </si>
  <si>
    <t>Nasi liwet</t>
  </si>
  <si>
    <t>Haen Hydro</t>
  </si>
  <si>
    <t>Teh Oplos</t>
  </si>
  <si>
    <t>Teh Botol Sosro</t>
  </si>
  <si>
    <t>Gorengan</t>
  </si>
  <si>
    <t>Dana Bantuan</t>
  </si>
  <si>
    <t>Biaya Transportasi</t>
  </si>
  <si>
    <t>Healty Care Club</t>
  </si>
  <si>
    <t xml:space="preserve">Jarum Bekam </t>
  </si>
  <si>
    <t>Sarung Tangan</t>
  </si>
  <si>
    <t>Biaya Parkir</t>
  </si>
  <si>
    <t>Konsumsi</t>
  </si>
  <si>
    <t>Tissue</t>
  </si>
  <si>
    <t>Minyak Zaitun</t>
  </si>
  <si>
    <t>Jum'at Sehat</t>
  </si>
  <si>
    <t>Jeruk</t>
  </si>
  <si>
    <t>Susu Cap 3 Sapi</t>
  </si>
  <si>
    <t>Mading Kesehatan &amp; Haen Times</t>
  </si>
  <si>
    <t>Kuas</t>
  </si>
  <si>
    <t>Cat Tembok</t>
  </si>
  <si>
    <t>Bensin</t>
  </si>
  <si>
    <t>ATK</t>
  </si>
  <si>
    <t>Mika Meteran</t>
  </si>
  <si>
    <t>Sketchbook</t>
  </si>
  <si>
    <t>Paku payung</t>
  </si>
  <si>
    <t>Gunting&amp;solasi</t>
  </si>
  <si>
    <t>No</t>
  </si>
  <si>
    <t>Penyampulan Al Quran Wakaf</t>
  </si>
  <si>
    <t>Pengadaan Stempel Lughoh</t>
  </si>
  <si>
    <t>Pengadaan Inventaris Qism Ta,lim</t>
  </si>
  <si>
    <t>Jum,at Sehat</t>
  </si>
  <si>
    <t>Inventaris Qism Amn</t>
  </si>
  <si>
    <t>Senter</t>
  </si>
  <si>
    <t>Megaphone</t>
  </si>
  <si>
    <t>Buku Batik</t>
  </si>
  <si>
    <t>Tong Besi</t>
  </si>
  <si>
    <t>Sewa Mobil</t>
  </si>
  <si>
    <t>Konsumsi Jalan</t>
  </si>
  <si>
    <t xml:space="preserve">Konsumsi </t>
  </si>
  <si>
    <t>Trash Bag</t>
  </si>
  <si>
    <t xml:space="preserve">Alat Kebersihan </t>
  </si>
  <si>
    <t>Kanebo</t>
  </si>
  <si>
    <t>Cling</t>
  </si>
  <si>
    <t>Inventaris Qism Thobiah</t>
  </si>
  <si>
    <t>Parkir</t>
  </si>
  <si>
    <t>Inventaris Thobiah</t>
  </si>
  <si>
    <t>lomba Kebersihan Asrama</t>
  </si>
  <si>
    <t>Hadiah-hadiah</t>
  </si>
  <si>
    <t>Kertas Concorde Dll</t>
  </si>
  <si>
    <t>So klin</t>
  </si>
  <si>
    <t>Snack ringan</t>
  </si>
  <si>
    <t xml:space="preserve">Kantong </t>
  </si>
  <si>
    <t>Bingkai &amp; Solasi</t>
  </si>
  <si>
    <t>Lomba Kebersihan Asrama &amp; Kelas</t>
  </si>
  <si>
    <t>Inventaris Kantor OSHAN</t>
  </si>
  <si>
    <t>Stempel</t>
  </si>
  <si>
    <t>Duplikat kunci</t>
  </si>
  <si>
    <t xml:space="preserve">Prabot Kantor </t>
  </si>
  <si>
    <t>Flashdisk</t>
  </si>
  <si>
    <t>Kertas HVS dll</t>
  </si>
  <si>
    <t>Map OSHAN</t>
  </si>
  <si>
    <t xml:space="preserve"> Alat Jualan</t>
  </si>
  <si>
    <t>Bahan Jualan</t>
  </si>
  <si>
    <t>Teplon</t>
  </si>
  <si>
    <t>Sarung tangan</t>
  </si>
  <si>
    <t>Tabung Gas</t>
  </si>
  <si>
    <t>Kompor &amp; Propertinya</t>
  </si>
  <si>
    <t>Cukuran &amp; Propertinya</t>
  </si>
  <si>
    <t>Alat-alat Memasak</t>
  </si>
  <si>
    <t>Alat-alat Jual Beli Qism Ekonomi</t>
  </si>
  <si>
    <t>Buku panduan Qism Lughah</t>
  </si>
  <si>
    <r>
      <t xml:space="preserve">Kitab </t>
    </r>
    <r>
      <rPr>
        <i/>
        <sz val="11"/>
        <color theme="1"/>
        <rFont val="Times New Roman"/>
        <family val="1"/>
      </rPr>
      <t>Mukhtaroot</t>
    </r>
  </si>
  <si>
    <t>Hadiah Angkatan Meeting</t>
  </si>
  <si>
    <t>Dana Konsumsi Panitia</t>
  </si>
  <si>
    <t>Piala</t>
  </si>
  <si>
    <t>Medali</t>
  </si>
  <si>
    <t>Ongkos kirim</t>
  </si>
  <si>
    <t>Makanan Kiloan</t>
  </si>
  <si>
    <t>Bingkai + Print Sertifikat</t>
  </si>
  <si>
    <t>konsumsi</t>
  </si>
  <si>
    <t>Print + Kertas kraft</t>
  </si>
  <si>
    <t>serbuk Minuman</t>
  </si>
  <si>
    <t>Konsumsi Lari pagi</t>
  </si>
  <si>
    <t>Buku Panduan Qism Lughah</t>
  </si>
  <si>
    <t>Konsumsi Panitia 3 hari</t>
  </si>
  <si>
    <t>Saldo Aktif Bulan Okt-Des</t>
  </si>
  <si>
    <t>Teka-teki silang ta'lim</t>
  </si>
  <si>
    <t>Hadiah lomba kaligrafi</t>
  </si>
  <si>
    <t>Hadiah lomba fotografi</t>
  </si>
  <si>
    <t>Banner Kebersihan</t>
  </si>
  <si>
    <t>P.Alat jual beli Qism Ekonomi</t>
  </si>
  <si>
    <t>P.Buku Panduan Lugoh</t>
  </si>
  <si>
    <t>P.Hadiah Angkatan Meeting</t>
  </si>
  <si>
    <t>Haen Sport competition</t>
  </si>
  <si>
    <t>Hadiah-hadiah Lomba</t>
  </si>
  <si>
    <t>Bingkai</t>
  </si>
  <si>
    <t>Biaya transportasi</t>
  </si>
  <si>
    <t>parkir</t>
  </si>
  <si>
    <t>Hadiah lomba Fotografi</t>
  </si>
  <si>
    <t>Kertas foto 1pack</t>
  </si>
  <si>
    <t>Ongkir</t>
  </si>
  <si>
    <t>Buku Teknik fotografi</t>
  </si>
  <si>
    <t>Sketchbook A4</t>
  </si>
  <si>
    <t>Sketchbook A5</t>
  </si>
  <si>
    <t>Latihan Keluar mahad</t>
  </si>
  <si>
    <t>Konsumsi Panitia HSC</t>
  </si>
  <si>
    <r>
      <t>TTS Sains</t>
    </r>
    <r>
      <rPr>
        <b/>
        <sz val="11"/>
        <color theme="1"/>
        <rFont val="Times New Roman"/>
        <family val="1"/>
      </rPr>
      <t xml:space="preserve"> (tambahan)</t>
    </r>
  </si>
  <si>
    <r>
      <t xml:space="preserve">Stand ekonomi </t>
    </r>
    <r>
      <rPr>
        <b/>
        <sz val="11"/>
        <color theme="1"/>
        <rFont val="Times New Roman"/>
        <family val="1"/>
      </rPr>
      <t>(tambahan)</t>
    </r>
  </si>
  <si>
    <t xml:space="preserve"> </t>
  </si>
  <si>
    <t>Mading Taman</t>
  </si>
  <si>
    <t>Nama Program</t>
  </si>
  <si>
    <t>Total Program</t>
  </si>
  <si>
    <t>Mading Taman #1</t>
  </si>
  <si>
    <t>Stand Ekonomi</t>
  </si>
  <si>
    <t>P.Hadiah Lomba Fotografi</t>
  </si>
  <si>
    <t>P.Hadiah Lomba Kaligrafi</t>
  </si>
  <si>
    <t>Hadiah Lomba Kaligrafi</t>
  </si>
  <si>
    <t>Hadiah TTS Sains</t>
  </si>
  <si>
    <t>Plakat Akrilik</t>
  </si>
  <si>
    <t xml:space="preserve">Bingkai Sertifikat </t>
  </si>
  <si>
    <t>Banner kebersihan</t>
  </si>
  <si>
    <t>Alat Material</t>
  </si>
  <si>
    <t>Palu</t>
  </si>
  <si>
    <t>Kayu Reng &amp; Ongkir</t>
  </si>
  <si>
    <t>Cat Putih</t>
  </si>
  <si>
    <t>Cat Kayu</t>
  </si>
  <si>
    <t>Stand Jualan Ekonomi</t>
  </si>
  <si>
    <t>Oktober 2024</t>
  </si>
  <si>
    <t>November 2024</t>
  </si>
  <si>
    <t>Desember 2024</t>
  </si>
  <si>
    <t>Januari 2025</t>
  </si>
  <si>
    <t>P.</t>
  </si>
  <si>
    <t>Bulan</t>
  </si>
  <si>
    <t>OKTOBER 2024</t>
  </si>
  <si>
    <t>DESEMBER 2024</t>
  </si>
  <si>
    <t>JANUARI 2025</t>
  </si>
  <si>
    <t>Pengembalian Dana OSHAN</t>
  </si>
  <si>
    <t>Februari 2025</t>
  </si>
  <si>
    <t>Bingkai &amp; kertas Kraf</t>
  </si>
  <si>
    <t>Mie Sakura</t>
  </si>
  <si>
    <t>Kertas Sertifikat</t>
  </si>
  <si>
    <t>Tabligh Akbar</t>
  </si>
  <si>
    <t>TTS Bahasa</t>
  </si>
  <si>
    <t>Mading Taman #2</t>
  </si>
  <si>
    <t>TTS Sains Ta'lim</t>
  </si>
  <si>
    <t>Hadiah lomba mading asrama</t>
  </si>
  <si>
    <t>Poster dakwah</t>
  </si>
  <si>
    <t>Lomba kebersihan asrama #2</t>
  </si>
  <si>
    <t>Lomba kebersihan kelas #2</t>
  </si>
  <si>
    <t>Mading Taman #1 (Kepemimpinan &amp; WW2)</t>
  </si>
  <si>
    <t>Penghargaan Santri 5 S</t>
  </si>
  <si>
    <t>Banner/Poster</t>
  </si>
  <si>
    <t>Kabel Tis</t>
  </si>
  <si>
    <t>Display Akrilik</t>
  </si>
  <si>
    <t>Air mineral</t>
  </si>
  <si>
    <t>Nasi Kebuli</t>
  </si>
  <si>
    <t>Slip pemateri</t>
  </si>
  <si>
    <t>Konsumsi jalan</t>
  </si>
  <si>
    <t>E-Toll</t>
  </si>
  <si>
    <t>Sewa mobil</t>
  </si>
  <si>
    <t>Intensif supir</t>
  </si>
  <si>
    <t>Sarapan Driver &amp; Co-driver</t>
  </si>
  <si>
    <t>Ats-tsaqafatul Islamiyyah</t>
  </si>
  <si>
    <t>Piala &amp; Hadiah-hadiah</t>
  </si>
  <si>
    <t>Permen</t>
  </si>
  <si>
    <t>Plastik</t>
  </si>
  <si>
    <t>Seduhan</t>
  </si>
  <si>
    <t>Karpet &amp; Lampu LED</t>
  </si>
  <si>
    <t>Konsumsi Finalis</t>
  </si>
  <si>
    <t>Laminating</t>
  </si>
  <si>
    <t>Tali rafia</t>
  </si>
  <si>
    <t>Kertas kado &amp; Buku tulis</t>
  </si>
  <si>
    <t>Kertas Kado</t>
  </si>
  <si>
    <t>Totebag &amp; ganci</t>
  </si>
  <si>
    <r>
      <t>Kamus</t>
    </r>
    <r>
      <rPr>
        <i/>
        <sz val="11"/>
        <color theme="1"/>
        <rFont val="Calibri"/>
        <family val="2"/>
        <charset val="1"/>
        <scheme val="minor"/>
      </rPr>
      <t xml:space="preserve"> mufradat</t>
    </r>
  </si>
  <si>
    <t>Dana proposal</t>
  </si>
  <si>
    <t>Lomba Kebersihan kelas #2</t>
  </si>
  <si>
    <t>Makanan Ringan</t>
  </si>
  <si>
    <t>Polybag</t>
  </si>
  <si>
    <t>Lakban</t>
  </si>
  <si>
    <t>Lomba Kebersihan Asrama #2</t>
  </si>
  <si>
    <t>Susu &amp; Sirup</t>
  </si>
  <si>
    <t>Makana Kiloan</t>
  </si>
  <si>
    <t>Kertas Concorde</t>
  </si>
  <si>
    <t>Kertas kado</t>
  </si>
  <si>
    <t>Kardus</t>
  </si>
  <si>
    <t>Soklin</t>
  </si>
  <si>
    <t>Susu kental manis</t>
  </si>
  <si>
    <t>Kertas concorde</t>
  </si>
  <si>
    <t>spidol putih</t>
  </si>
  <si>
    <t>note book</t>
  </si>
  <si>
    <t>kuas</t>
  </si>
  <si>
    <t>Cat tembok</t>
  </si>
  <si>
    <t>keranjang baju</t>
  </si>
  <si>
    <t>gelas cup</t>
  </si>
  <si>
    <t>konsumsi jalan</t>
  </si>
  <si>
    <t>parkir dan bensin</t>
  </si>
  <si>
    <t>Lost and found and to be better box</t>
  </si>
  <si>
    <t>Lost and found box</t>
  </si>
  <si>
    <t>To be better box</t>
  </si>
  <si>
    <t>ongkir</t>
  </si>
  <si>
    <t>NOVEMBER 2024</t>
  </si>
  <si>
    <t>Inventaris Qis Ta'lim</t>
  </si>
  <si>
    <t>Ats-tsaqafatul islamiyyah</t>
  </si>
  <si>
    <t>Lomba mading asrama</t>
  </si>
  <si>
    <t>Lomba mading kelas</t>
  </si>
  <si>
    <t>FEBRUARI 2025</t>
  </si>
  <si>
    <t>Shoum lovers</t>
  </si>
  <si>
    <t>Jumlah pinjaman</t>
  </si>
  <si>
    <t>Dana yang terpakai</t>
  </si>
  <si>
    <t>Sisa dana</t>
  </si>
  <si>
    <t>Status</t>
  </si>
  <si>
    <t>Mading taman #2</t>
  </si>
  <si>
    <r>
      <rPr>
        <sz val="11"/>
        <color theme="1"/>
        <rFont val="Times New Roman"/>
        <family val="1"/>
      </rPr>
      <t>Inventaris</t>
    </r>
    <r>
      <rPr>
        <i/>
        <sz val="11"/>
        <color theme="1"/>
        <rFont val="Times New Roman"/>
        <family val="1"/>
      </rPr>
      <t xml:space="preserve"> Riyadhoh</t>
    </r>
  </si>
  <si>
    <t>Mading Taman #2 (Ramadhan)</t>
  </si>
  <si>
    <r>
      <t>Pengadaan</t>
    </r>
    <r>
      <rPr>
        <i/>
        <sz val="11"/>
        <color theme="1"/>
        <rFont val="Times New Roman"/>
        <family val="1"/>
      </rPr>
      <t xml:space="preserve"> lost and found &amp; To be better box</t>
    </r>
  </si>
  <si>
    <r>
      <rPr>
        <i/>
        <sz val="11"/>
        <color theme="1"/>
        <rFont val="Times New Roman"/>
        <family val="1"/>
      </rPr>
      <t xml:space="preserve">Haen sport competition </t>
    </r>
    <r>
      <rPr>
        <sz val="11"/>
        <color theme="1"/>
        <rFont val="Times New Roman"/>
        <family val="1"/>
      </rPr>
      <t>vol 1</t>
    </r>
  </si>
  <si>
    <t>MARET 2025</t>
  </si>
  <si>
    <t>Lomba Mading Kelas</t>
  </si>
  <si>
    <t>Jam dinding</t>
  </si>
  <si>
    <t>Spidol</t>
  </si>
  <si>
    <t>Taplak meja</t>
  </si>
  <si>
    <t>Penghargaan Santri 5S</t>
  </si>
  <si>
    <t>Peci rabbani</t>
  </si>
  <si>
    <t xml:space="preserve">Ongkir </t>
  </si>
  <si>
    <t>Papperbag</t>
  </si>
  <si>
    <t>Shaum Lovers</t>
  </si>
  <si>
    <t>tumbler</t>
  </si>
  <si>
    <t>papperbag</t>
  </si>
  <si>
    <t>pulpen 1 pack</t>
  </si>
  <si>
    <t>gantungan kunci</t>
  </si>
  <si>
    <t>notebook</t>
  </si>
  <si>
    <t>jam beker</t>
  </si>
  <si>
    <t>Hadiah TTS Bahasa</t>
  </si>
  <si>
    <t>Buku sejarah</t>
  </si>
  <si>
    <t>?</t>
  </si>
  <si>
    <t>Maret    2025</t>
  </si>
  <si>
    <t>Kertas Photo</t>
  </si>
  <si>
    <t>Penyediaan tinta printer</t>
  </si>
  <si>
    <t>Minjemmmm</t>
  </si>
  <si>
    <t>Dana Seharusnya</t>
  </si>
  <si>
    <t>s</t>
  </si>
  <si>
    <t>Jelajah alam</t>
  </si>
  <si>
    <t>Lunas</t>
  </si>
  <si>
    <t>Kriteria Status</t>
  </si>
  <si>
    <t>Buletin OSHAN</t>
  </si>
  <si>
    <t>Transportasi Inventaris Riyadhoh</t>
  </si>
  <si>
    <t>Total Program Per-bulan</t>
  </si>
  <si>
    <t>Nama program</t>
  </si>
  <si>
    <t>Saldo yang diterima</t>
  </si>
  <si>
    <t>Saldo yang terpakai</t>
  </si>
  <si>
    <t>Saldo tambahan</t>
  </si>
  <si>
    <t>Sisa saldo</t>
  </si>
  <si>
    <t>Jumlah saldo aktif</t>
  </si>
  <si>
    <t>Alat-alat Jual beli Qism Ekonomi</t>
  </si>
  <si>
    <t>Rapat sosialisai funfest 4.0</t>
  </si>
  <si>
    <t>Pelantikan OSHAN 24-25</t>
  </si>
  <si>
    <t>Rapat Kerja OSHAN 24-25</t>
  </si>
  <si>
    <t>Mei 
2025</t>
  </si>
  <si>
    <t>TTS Sejarah Qism ta'lim</t>
  </si>
  <si>
    <t>TTS sejarah Qism I'lan</t>
  </si>
  <si>
    <t>April
 2025</t>
  </si>
  <si>
    <t>Seminar angkatan</t>
  </si>
  <si>
    <t>Lomba kebersihan Asrama #3</t>
  </si>
  <si>
    <t>Lomba kebersihan kelas #3</t>
  </si>
  <si>
    <t>Seminar Angkatan</t>
  </si>
  <si>
    <t>Pembuatan Mading Informasi</t>
  </si>
  <si>
    <t>Laporan Keuanggan OSHAN masa khidmat 2024-2025</t>
  </si>
  <si>
    <t>Mading taman #3 (Idul adha &amp; palestine)</t>
  </si>
  <si>
    <t>Ngutang</t>
  </si>
  <si>
    <t>Lomba kebersihan #3</t>
  </si>
  <si>
    <t>Sisa Saldo</t>
  </si>
  <si>
    <t>Plus</t>
  </si>
  <si>
    <t>Minus</t>
  </si>
  <si>
    <t>Januari</t>
  </si>
  <si>
    <t>Februari</t>
  </si>
  <si>
    <t>Maret</t>
  </si>
  <si>
    <t>Mei</t>
  </si>
  <si>
    <t>Qism/Divisi</t>
  </si>
  <si>
    <t>Total Program 
PerQism</t>
  </si>
  <si>
    <t>Maret 2025</t>
  </si>
  <si>
    <t>Mei 2025</t>
  </si>
  <si>
    <t>Amn</t>
  </si>
  <si>
    <t>November 2025</t>
  </si>
  <si>
    <t>April 2025</t>
  </si>
  <si>
    <t>Lughoh</t>
  </si>
  <si>
    <t>I'lan</t>
  </si>
  <si>
    <t>Riyadhoh</t>
  </si>
  <si>
    <t>Thobi'ah</t>
  </si>
  <si>
    <t>Shahafi</t>
  </si>
  <si>
    <t>Shihah</t>
  </si>
  <si>
    <t>Taghdiyah</t>
  </si>
  <si>
    <t>Ekonomi</t>
  </si>
  <si>
    <t>Sosial</t>
  </si>
  <si>
    <t>Tim One</t>
  </si>
  <si>
    <t>Ta'lim 
Ibadah</t>
  </si>
  <si>
    <t>Juni 2025</t>
  </si>
  <si>
    <t>Hadiah lomba poster fotografi</t>
  </si>
  <si>
    <t>Konsumsi rapat bulanan</t>
  </si>
  <si>
    <t>Rapat Evaluasi bulanan</t>
  </si>
  <si>
    <t>Juni 
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</si>
</sst>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37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color rgb="FF9C0006"/>
      <name val="Times New Roman"/>
      <family val="1"/>
    </font>
    <font>
      <sz val="11"/>
      <color rgb="FF006100"/>
      <name val="Times New Roman"/>
      <family val="1"/>
    </font>
    <font>
      <b/>
      <sz val="11"/>
      <color rgb="FFFA7D00"/>
      <name val="Times New Roman"/>
      <family val="1"/>
    </font>
    <font>
      <sz val="11"/>
      <color rgb="FF3F3F76"/>
      <name val="Calibri"/>
      <family val="2"/>
      <charset val="1"/>
      <scheme val="minor"/>
    </font>
    <font>
      <sz val="11"/>
      <color rgb="FF3F3F76"/>
      <name val="Times New Roman"/>
      <family val="1"/>
    </font>
    <font>
      <b/>
      <sz val="11"/>
      <color rgb="FF3F3F76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FA7D00"/>
      <name val="Calibri Light"/>
      <family val="1"/>
      <scheme val="major"/>
    </font>
    <font>
      <sz val="11"/>
      <color rgb="FFFF0000"/>
      <name val="Times New Roman"/>
      <family val="1"/>
    </font>
    <font>
      <sz val="11"/>
      <color rgb="FF00B050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3399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006100"/>
      <name val="Times New Roman"/>
      <family val="1"/>
    </font>
    <font>
      <b/>
      <sz val="11"/>
      <color theme="9" tint="-0.249977111117893"/>
      <name val="Times New Roman"/>
      <family val="1"/>
    </font>
    <font>
      <i/>
      <sz val="11"/>
      <color theme="1"/>
      <name val="Calibri"/>
      <family val="2"/>
      <charset val="1"/>
      <scheme val="minor"/>
    </font>
    <font>
      <b/>
      <i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11"/>
      <color theme="3"/>
      <name val="Times New Roman"/>
      <family val="1"/>
    </font>
    <font>
      <sz val="11"/>
      <name val="Times New Roman"/>
      <family val="1"/>
    </font>
    <font>
      <sz val="11"/>
      <color theme="5" tint="-0.249977111117893"/>
      <name val="Times New Roman"/>
      <family val="1"/>
    </font>
    <font>
      <sz val="11"/>
      <color theme="9" tint="-0.249977111117893"/>
      <name val="Times New Roman"/>
      <family val="1"/>
    </font>
    <font>
      <sz val="24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FCED"/>
        <bgColor indexed="64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8" fillId="5" borderId="1" applyNumberFormat="0" applyAlignment="0" applyProtection="0"/>
  </cellStyleXfs>
  <cellXfs count="334">
    <xf numFmtId="0" fontId="0" fillId="0" borderId="0" xfId="0"/>
    <xf numFmtId="0" fontId="0" fillId="0" borderId="0" xfId="0" applyAlignment="1">
      <alignment wrapText="1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vertical="center"/>
    </xf>
    <xf numFmtId="14" fontId="9" fillId="5" borderId="8" xfId="4" applyNumberFormat="1" applyFont="1" applyBorder="1" applyAlignment="1">
      <alignment horizontal="center"/>
    </xf>
    <xf numFmtId="164" fontId="4" fillId="9" borderId="5" xfId="0" applyNumberFormat="1" applyFont="1" applyFill="1" applyBorder="1" applyAlignment="1">
      <alignment horizontal="center" vertical="center"/>
    </xf>
    <xf numFmtId="164" fontId="4" fillId="9" borderId="8" xfId="0" applyNumberFormat="1" applyFont="1" applyFill="1" applyBorder="1" applyAlignment="1">
      <alignment vertical="center"/>
    </xf>
    <xf numFmtId="164" fontId="4" fillId="9" borderId="8" xfId="0" applyNumberFormat="1" applyFont="1" applyFill="1" applyBorder="1" applyAlignment="1">
      <alignment horizontal="center" vertical="center"/>
    </xf>
    <xf numFmtId="164" fontId="4" fillId="10" borderId="5" xfId="0" applyNumberFormat="1" applyFont="1" applyFill="1" applyBorder="1" applyAlignment="1">
      <alignment horizontal="center" vertical="center"/>
    </xf>
    <xf numFmtId="164" fontId="4" fillId="10" borderId="8" xfId="0" applyNumberFormat="1" applyFont="1" applyFill="1" applyBorder="1" applyAlignment="1">
      <alignment horizontal="center" vertical="center"/>
    </xf>
    <xf numFmtId="164" fontId="4" fillId="10" borderId="10" xfId="0" applyNumberFormat="1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left" vertical="center"/>
    </xf>
    <xf numFmtId="0" fontId="0" fillId="13" borderId="15" xfId="0" applyFill="1" applyBorder="1" applyAlignment="1">
      <alignment horizontal="center" vertical="center"/>
    </xf>
    <xf numFmtId="14" fontId="9" fillId="5" borderId="4" xfId="4" applyNumberFormat="1" applyFont="1" applyBorder="1" applyAlignment="1">
      <alignment horizontal="center" vertical="center"/>
    </xf>
    <xf numFmtId="164" fontId="4" fillId="0" borderId="5" xfId="0" quotePrefix="1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left" vertical="center"/>
    </xf>
    <xf numFmtId="164" fontId="4" fillId="0" borderId="8" xfId="0" applyNumberFormat="1" applyFont="1" applyBorder="1" applyAlignment="1">
      <alignment horizontal="left" vertical="center"/>
    </xf>
    <xf numFmtId="164" fontId="13" fillId="0" borderId="10" xfId="0" applyNumberFormat="1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164" fontId="4" fillId="9" borderId="5" xfId="0" quotePrefix="1" applyNumberFormat="1" applyFont="1" applyFill="1" applyBorder="1" applyAlignment="1">
      <alignment horizontal="center" vertical="center"/>
    </xf>
    <xf numFmtId="44" fontId="0" fillId="9" borderId="15" xfId="0" applyNumberFormat="1" applyFill="1" applyBorder="1" applyAlignment="1">
      <alignment horizontal="center" vertical="center"/>
    </xf>
    <xf numFmtId="164" fontId="4" fillId="9" borderId="10" xfId="0" applyNumberFormat="1" applyFont="1" applyFill="1" applyBorder="1" applyAlignment="1">
      <alignment horizontal="center" vertical="center"/>
    </xf>
    <xf numFmtId="164" fontId="4" fillId="9" borderId="7" xfId="0" applyNumberFormat="1" applyFont="1" applyFill="1" applyBorder="1" applyAlignment="1">
      <alignment horizontal="center" vertical="center"/>
    </xf>
    <xf numFmtId="164" fontId="4" fillId="9" borderId="8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44" fontId="0" fillId="0" borderId="15" xfId="0" applyNumberForma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0" fillId="5" borderId="5" xfId="4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3" borderId="5" xfId="2" applyFont="1" applyBorder="1" applyAlignment="1">
      <alignment horizontal="center" vertical="center"/>
    </xf>
    <xf numFmtId="0" fontId="6" fillId="2" borderId="5" xfId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/>
    </xf>
    <xf numFmtId="0" fontId="16" fillId="4" borderId="1" xfId="3" applyFont="1" applyAlignment="1">
      <alignment horizontal="center" vertical="center"/>
    </xf>
    <xf numFmtId="44" fontId="14" fillId="0" borderId="5" xfId="0" applyNumberFormat="1" applyFont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164" fontId="0" fillId="0" borderId="0" xfId="0" applyNumberFormat="1"/>
    <xf numFmtId="44" fontId="14" fillId="0" borderId="5" xfId="0" applyNumberFormat="1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64" fontId="19" fillId="0" borderId="5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4" fontId="0" fillId="0" borderId="0" xfId="0" applyNumberFormat="1"/>
    <xf numFmtId="14" fontId="9" fillId="5" borderId="5" xfId="4" applyNumberFormat="1" applyFont="1" applyBorder="1" applyAlignment="1">
      <alignment horizontal="center"/>
    </xf>
    <xf numFmtId="164" fontId="4" fillId="10" borderId="5" xfId="0" applyNumberFormat="1" applyFont="1" applyFill="1" applyBorder="1"/>
    <xf numFmtId="164" fontId="4" fillId="0" borderId="10" xfId="0" applyNumberFormat="1" applyFont="1" applyBorder="1" applyAlignment="1">
      <alignment horizontal="left" vertical="center"/>
    </xf>
    <xf numFmtId="164" fontId="4" fillId="9" borderId="5" xfId="0" applyNumberFormat="1" applyFont="1" applyFill="1" applyBorder="1"/>
    <xf numFmtId="14" fontId="22" fillId="7" borderId="11" xfId="0" applyNumberFormat="1" applyFont="1" applyFill="1" applyBorder="1" applyAlignment="1">
      <alignment horizontal="center"/>
    </xf>
    <xf numFmtId="14" fontId="22" fillId="7" borderId="5" xfId="0" applyNumberFormat="1" applyFont="1" applyFill="1" applyBorder="1" applyAlignment="1">
      <alignment horizontal="center"/>
    </xf>
    <xf numFmtId="14" fontId="9" fillId="5" borderId="6" xfId="4" applyNumberFormat="1" applyFont="1" applyBorder="1" applyAlignment="1">
      <alignment horizontal="center" vertical="center"/>
    </xf>
    <xf numFmtId="14" fontId="9" fillId="5" borderId="11" xfId="4" applyNumberFormat="1" applyFont="1" applyBorder="1" applyAlignment="1">
      <alignment horizontal="center" vertical="center"/>
    </xf>
    <xf numFmtId="14" fontId="9" fillId="5" borderId="8" xfId="4" applyNumberFormat="1" applyFont="1" applyBorder="1" applyAlignment="1">
      <alignment horizontal="center" vertical="center"/>
    </xf>
    <xf numFmtId="14" fontId="9" fillId="5" borderId="5" xfId="4" applyNumberFormat="1" applyFont="1" applyBorder="1" applyAlignment="1">
      <alignment horizontal="center" vertical="center" wrapText="1"/>
    </xf>
    <xf numFmtId="14" fontId="9" fillId="5" borderId="5" xfId="4" applyNumberFormat="1" applyFont="1" applyBorder="1" applyAlignment="1">
      <alignment horizontal="center" vertical="center"/>
    </xf>
    <xf numFmtId="14" fontId="9" fillId="7" borderId="9" xfId="0" applyNumberFormat="1" applyFont="1" applyFill="1" applyBorder="1" applyAlignment="1">
      <alignment horizontal="center" vertical="center"/>
    </xf>
    <xf numFmtId="14" fontId="9" fillId="5" borderId="6" xfId="4" applyNumberFormat="1" applyFont="1" applyBorder="1" applyAlignment="1">
      <alignment horizontal="center" vertical="center"/>
    </xf>
    <xf numFmtId="14" fontId="9" fillId="5" borderId="5" xfId="4" applyNumberFormat="1" applyFont="1" applyBorder="1" applyAlignment="1">
      <alignment horizontal="center" vertical="center"/>
    </xf>
    <xf numFmtId="14" fontId="9" fillId="7" borderId="8" xfId="0" applyNumberFormat="1" applyFont="1" applyFill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164" fontId="19" fillId="0" borderId="3" xfId="0" applyNumberFormat="1" applyFont="1" applyBorder="1" applyAlignment="1">
      <alignment horizontal="center" vertical="center"/>
    </xf>
    <xf numFmtId="164" fontId="19" fillId="0" borderId="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164" fontId="19" fillId="0" borderId="11" xfId="0" applyNumberFormat="1" applyFont="1" applyBorder="1" applyAlignment="1">
      <alignment horizontal="center" vertical="center"/>
    </xf>
    <xf numFmtId="0" fontId="0" fillId="8" borderId="10" xfId="0" applyFill="1" applyBorder="1"/>
    <xf numFmtId="164" fontId="4" fillId="10" borderId="8" xfId="0" applyNumberFormat="1" applyFont="1" applyFill="1" applyBorder="1" applyAlignment="1">
      <alignment vertical="center"/>
    </xf>
    <xf numFmtId="0" fontId="7" fillId="4" borderId="8" xfId="3" applyFont="1" applyFill="1" applyBorder="1" applyAlignment="1">
      <alignment horizontal="center" vertical="center"/>
    </xf>
    <xf numFmtId="0" fontId="4" fillId="9" borderId="6" xfId="0" applyFont="1" applyFill="1" applyBorder="1" applyAlignment="1">
      <alignment vertical="center"/>
    </xf>
    <xf numFmtId="164" fontId="4" fillId="9" borderId="6" xfId="0" applyNumberFormat="1" applyFont="1" applyFill="1" applyBorder="1" applyAlignment="1">
      <alignment vertical="center"/>
    </xf>
    <xf numFmtId="164" fontId="4" fillId="9" borderId="6" xfId="0" applyNumberFormat="1" applyFont="1" applyFill="1" applyBorder="1" applyAlignment="1">
      <alignment horizontal="center" vertical="center"/>
    </xf>
    <xf numFmtId="0" fontId="4" fillId="9" borderId="6" xfId="0" applyFont="1" applyFill="1" applyBorder="1" applyAlignment="1">
      <alignment vertical="center" wrapText="1"/>
    </xf>
    <xf numFmtId="164" fontId="4" fillId="9" borderId="6" xfId="0" applyNumberFormat="1" applyFont="1" applyFill="1" applyBorder="1" applyAlignment="1">
      <alignment vertical="center" wrapText="1"/>
    </xf>
    <xf numFmtId="0" fontId="4" fillId="9" borderId="6" xfId="0" applyFont="1" applyFill="1" applyBorder="1" applyAlignment="1">
      <alignment horizontal="left" vertical="center"/>
    </xf>
    <xf numFmtId="164" fontId="4" fillId="10" borderId="6" xfId="0" applyNumberFormat="1" applyFont="1" applyFill="1" applyBorder="1" applyAlignment="1">
      <alignment horizontal="left" vertical="center"/>
    </xf>
    <xf numFmtId="164" fontId="4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left" vertical="center"/>
    </xf>
    <xf numFmtId="164" fontId="4" fillId="10" borderId="4" xfId="0" applyNumberFormat="1" applyFont="1" applyFill="1" applyBorder="1" applyAlignment="1">
      <alignment horizontal="left" vertical="center"/>
    </xf>
    <xf numFmtId="164" fontId="4" fillId="10" borderId="4" xfId="0" applyNumberFormat="1" applyFont="1" applyFill="1" applyBorder="1" applyAlignment="1">
      <alignment horizontal="center" vertical="center"/>
    </xf>
    <xf numFmtId="164" fontId="4" fillId="10" borderId="5" xfId="0" applyNumberFormat="1" applyFont="1" applyFill="1" applyBorder="1" applyAlignment="1">
      <alignment vertical="center"/>
    </xf>
    <xf numFmtId="0" fontId="23" fillId="3" borderId="8" xfId="2" applyFont="1" applyFill="1" applyBorder="1" applyAlignment="1">
      <alignment horizontal="center" vertical="center"/>
    </xf>
    <xf numFmtId="0" fontId="24" fillId="2" borderId="8" xfId="1" applyFont="1" applyFill="1" applyBorder="1" applyAlignment="1">
      <alignment horizontal="center" vertical="center"/>
    </xf>
    <xf numFmtId="164" fontId="23" fillId="10" borderId="5" xfId="2" applyNumberFormat="1" applyFont="1" applyFill="1" applyBorder="1" applyAlignment="1">
      <alignment vertical="center"/>
    </xf>
    <xf numFmtId="164" fontId="25" fillId="10" borderId="5" xfId="2" applyNumberFormat="1" applyFont="1" applyFill="1" applyBorder="1" applyAlignment="1">
      <alignment vertical="center"/>
    </xf>
    <xf numFmtId="164" fontId="7" fillId="10" borderId="5" xfId="3" applyNumberFormat="1" applyFont="1" applyFill="1" applyBorder="1" applyAlignment="1">
      <alignment vertical="center"/>
    </xf>
    <xf numFmtId="14" fontId="9" fillId="5" borderId="5" xfId="4" applyNumberFormat="1" applyFont="1" applyBorder="1" applyAlignment="1">
      <alignment horizontal="center" vertical="center"/>
    </xf>
    <xf numFmtId="164" fontId="19" fillId="9" borderId="5" xfId="0" applyNumberFormat="1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wrapText="1"/>
    </xf>
    <xf numFmtId="164" fontId="4" fillId="9" borderId="9" xfId="0" applyNumberFormat="1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14" fontId="9" fillId="5" borderId="11" xfId="4" applyNumberFormat="1" applyFont="1" applyBorder="1" applyAlignment="1">
      <alignment horizontal="center" vertical="center"/>
    </xf>
    <xf numFmtId="14" fontId="9" fillId="5" borderId="6" xfId="4" applyNumberFormat="1" applyFont="1" applyBorder="1" applyAlignment="1">
      <alignment horizontal="center" vertical="center"/>
    </xf>
    <xf numFmtId="14" fontId="9" fillId="5" borderId="5" xfId="4" applyNumberFormat="1" applyFont="1" applyBorder="1" applyAlignment="1">
      <alignment horizontal="center" vertical="center"/>
    </xf>
    <xf numFmtId="164" fontId="4" fillId="9" borderId="11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/>
    </xf>
    <xf numFmtId="0" fontId="0" fillId="6" borderId="5" xfId="0" applyFill="1" applyBorder="1" applyAlignment="1">
      <alignment textRotation="90"/>
    </xf>
    <xf numFmtId="0" fontId="0" fillId="0" borderId="0" xfId="0" applyAlignment="1">
      <alignment textRotation="90"/>
    </xf>
    <xf numFmtId="0" fontId="4" fillId="18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44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17" borderId="15" xfId="0" applyFont="1" applyFill="1" applyBorder="1" applyAlignment="1">
      <alignment horizontal="left" vertical="center"/>
    </xf>
    <xf numFmtId="44" fontId="4" fillId="17" borderId="15" xfId="0" applyNumberFormat="1" applyFont="1" applyFill="1" applyBorder="1" applyAlignment="1">
      <alignment horizontal="center" vertical="center"/>
    </xf>
    <xf numFmtId="0" fontId="4" fillId="17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12" fillId="14" borderId="15" xfId="0" applyFont="1" applyFill="1" applyBorder="1" applyAlignment="1">
      <alignment horizontal="center" vertical="center"/>
    </xf>
    <xf numFmtId="44" fontId="4" fillId="9" borderId="15" xfId="0" applyNumberFormat="1" applyFont="1" applyFill="1" applyBorder="1" applyAlignment="1">
      <alignment horizontal="center" vertical="center"/>
    </xf>
    <xf numFmtId="44" fontId="4" fillId="0" borderId="15" xfId="0" applyNumberFormat="1" applyFont="1" applyFill="1" applyBorder="1" applyAlignment="1">
      <alignment horizontal="center" vertical="center"/>
    </xf>
    <xf numFmtId="44" fontId="4" fillId="10" borderId="15" xfId="0" applyNumberFormat="1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vertical="center"/>
    </xf>
    <xf numFmtId="14" fontId="9" fillId="5" borderId="5" xfId="4" applyNumberFormat="1" applyFont="1" applyBorder="1" applyAlignment="1">
      <alignment horizontal="center" vertical="center"/>
    </xf>
    <xf numFmtId="14" fontId="9" fillId="5" borderId="16" xfId="4" applyNumberFormat="1" applyFont="1" applyBorder="1" applyAlignment="1">
      <alignment horizontal="center" vertical="center"/>
    </xf>
    <xf numFmtId="164" fontId="4" fillId="0" borderId="5" xfId="0" applyNumberFormat="1" applyFont="1" applyFill="1" applyBorder="1" applyAlignment="1">
      <alignment horizontal="center" vertical="center"/>
    </xf>
    <xf numFmtId="164" fontId="19" fillId="0" borderId="5" xfId="0" applyNumberFormat="1" applyFont="1" applyFill="1" applyBorder="1" applyAlignment="1">
      <alignment horizontal="center" vertical="center"/>
    </xf>
    <xf numFmtId="14" fontId="9" fillId="5" borderId="17" xfId="4" applyNumberFormat="1" applyFont="1" applyBorder="1" applyAlignment="1">
      <alignment horizontal="center" vertical="center"/>
    </xf>
    <xf numFmtId="0" fontId="0" fillId="0" borderId="15" xfId="0" applyBorder="1"/>
    <xf numFmtId="0" fontId="4" fillId="14" borderId="15" xfId="0" applyFont="1" applyFill="1" applyBorder="1"/>
    <xf numFmtId="0" fontId="32" fillId="0" borderId="15" xfId="0" applyFont="1" applyBorder="1"/>
    <xf numFmtId="0" fontId="17" fillId="0" borderId="15" xfId="0" applyFont="1" applyBorder="1"/>
    <xf numFmtId="0" fontId="0" fillId="13" borderId="20" xfId="0" applyFill="1" applyBorder="1" applyAlignment="1">
      <alignment horizontal="center" vertical="center"/>
    </xf>
    <xf numFmtId="44" fontId="4" fillId="9" borderId="20" xfId="0" applyNumberFormat="1" applyFont="1" applyFill="1" applyBorder="1" applyAlignment="1">
      <alignment horizontal="center" vertical="center"/>
    </xf>
    <xf numFmtId="49" fontId="30" fillId="0" borderId="20" xfId="0" applyNumberFormat="1" applyFont="1" applyFill="1" applyBorder="1" applyAlignment="1">
      <alignment vertical="center"/>
    </xf>
    <xf numFmtId="0" fontId="30" fillId="0" borderId="15" xfId="0" applyFont="1" applyBorder="1" applyAlignment="1">
      <alignment horizontal="center" vertical="center"/>
    </xf>
    <xf numFmtId="0" fontId="4" fillId="14" borderId="19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/>
    </xf>
    <xf numFmtId="44" fontId="25" fillId="0" borderId="19" xfId="0" applyNumberFormat="1" applyFont="1" applyBorder="1"/>
    <xf numFmtId="44" fontId="28" fillId="0" borderId="19" xfId="0" applyNumberFormat="1" applyFont="1" applyBorder="1"/>
    <xf numFmtId="44" fontId="29" fillId="0" borderId="19" xfId="0" applyNumberFormat="1" applyFont="1" applyBorder="1"/>
    <xf numFmtId="0" fontId="21" fillId="15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44" fontId="4" fillId="0" borderId="15" xfId="0" applyNumberFormat="1" applyFont="1" applyBorder="1" applyAlignment="1">
      <alignment vertical="center"/>
    </xf>
    <xf numFmtId="44" fontId="0" fillId="0" borderId="0" xfId="0" applyNumberFormat="1" applyAlignment="1">
      <alignment vertical="center"/>
    </xf>
    <xf numFmtId="44" fontId="0" fillId="19" borderId="15" xfId="0" applyNumberFormat="1" applyFill="1" applyBorder="1" applyAlignment="1">
      <alignment vertical="center"/>
    </xf>
    <xf numFmtId="44" fontId="0" fillId="0" borderId="15" xfId="0" applyNumberFormat="1" applyBorder="1" applyAlignment="1">
      <alignment vertical="center"/>
    </xf>
    <xf numFmtId="44" fontId="0" fillId="0" borderId="0" xfId="0" applyNumberFormat="1" applyBorder="1" applyAlignment="1">
      <alignment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10" borderId="15" xfId="0" applyFont="1" applyFill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4" fillId="10" borderId="15" xfId="0" applyFont="1" applyFill="1" applyBorder="1" applyAlignment="1">
      <alignment vertical="center"/>
    </xf>
    <xf numFmtId="0" fontId="30" fillId="10" borderId="15" xfId="0" applyFont="1" applyFill="1" applyBorder="1" applyAlignment="1">
      <alignment vertical="center"/>
    </xf>
    <xf numFmtId="0" fontId="4" fillId="14" borderId="15" xfId="0" applyFont="1" applyFill="1" applyBorder="1" applyAlignment="1">
      <alignment horizontal="center" vertical="center"/>
    </xf>
    <xf numFmtId="0" fontId="4" fillId="20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10" borderId="15" xfId="0" applyFont="1" applyFill="1" applyBorder="1" applyAlignment="1">
      <alignment horizontal="left" vertical="center"/>
    </xf>
    <xf numFmtId="0" fontId="4" fillId="0" borderId="15" xfId="0" applyFont="1" applyBorder="1"/>
    <xf numFmtId="49" fontId="4" fillId="0" borderId="15" xfId="0" applyNumberFormat="1" applyFont="1" applyBorder="1"/>
    <xf numFmtId="49" fontId="4" fillId="0" borderId="15" xfId="0" applyNumberFormat="1" applyFont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 wrapText="1"/>
    </xf>
    <xf numFmtId="44" fontId="25" fillId="0" borderId="15" xfId="0" applyNumberFormat="1" applyFont="1" applyBorder="1"/>
    <xf numFmtId="44" fontId="28" fillId="0" borderId="15" xfId="0" applyNumberFormat="1" applyFont="1" applyBorder="1"/>
    <xf numFmtId="0" fontId="31" fillId="9" borderId="15" xfId="0" applyFont="1" applyFill="1" applyBorder="1" applyAlignment="1">
      <alignment horizontal="left" vertical="center"/>
    </xf>
    <xf numFmtId="0" fontId="31" fillId="10" borderId="15" xfId="0" applyFont="1" applyFill="1" applyBorder="1" applyAlignment="1">
      <alignment horizontal="left" vertical="center"/>
    </xf>
    <xf numFmtId="0" fontId="4" fillId="10" borderId="15" xfId="0" applyFont="1" applyFill="1" applyBorder="1" applyAlignment="1">
      <alignment horizontal="left" vertical="center" wrapText="1"/>
    </xf>
    <xf numFmtId="44" fontId="4" fillId="22" borderId="15" xfId="0" applyNumberFormat="1" applyFont="1" applyFill="1" applyBorder="1" applyAlignment="1">
      <alignment horizontal="center" vertical="center"/>
    </xf>
    <xf numFmtId="44" fontId="4" fillId="24" borderId="15" xfId="0" applyNumberFormat="1" applyFont="1" applyFill="1" applyBorder="1" applyAlignment="1">
      <alignment horizontal="center" vertical="center"/>
    </xf>
    <xf numFmtId="0" fontId="34" fillId="11" borderId="15" xfId="0" applyFont="1" applyFill="1" applyBorder="1" applyAlignment="1">
      <alignment horizontal="center" vertical="center"/>
    </xf>
    <xf numFmtId="0" fontId="34" fillId="23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34" fillId="0" borderId="15" xfId="0" applyFont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34" fillId="9" borderId="15" xfId="0" applyFont="1" applyFill="1" applyBorder="1" applyAlignment="1">
      <alignment horizontal="center" vertical="center"/>
    </xf>
    <xf numFmtId="49" fontId="11" fillId="23" borderId="19" xfId="0" applyNumberFormat="1" applyFont="1" applyFill="1" applyBorder="1" applyAlignment="1">
      <alignment horizontal="center" vertical="center"/>
    </xf>
    <xf numFmtId="49" fontId="11" fillId="15" borderId="19" xfId="0" applyNumberFormat="1" applyFont="1" applyFill="1" applyBorder="1" applyAlignment="1">
      <alignment horizontal="center" vertical="center"/>
    </xf>
    <xf numFmtId="44" fontId="4" fillId="21" borderId="15" xfId="0" applyNumberFormat="1" applyFont="1" applyFill="1" applyBorder="1"/>
    <xf numFmtId="0" fontId="12" fillId="12" borderId="25" xfId="0" applyFont="1" applyFill="1" applyBorder="1" applyAlignment="1">
      <alignment horizontal="center" vertical="center"/>
    </xf>
    <xf numFmtId="0" fontId="12" fillId="12" borderId="26" xfId="0" applyFont="1" applyFill="1" applyBorder="1" applyAlignment="1">
      <alignment horizontal="center" vertical="center"/>
    </xf>
    <xf numFmtId="0" fontId="12" fillId="12" borderId="27" xfId="0" applyFont="1" applyFill="1" applyBorder="1" applyAlignment="1">
      <alignment horizontal="center" vertical="center"/>
    </xf>
    <xf numFmtId="0" fontId="12" fillId="12" borderId="28" xfId="0" applyFont="1" applyFill="1" applyBorder="1" applyAlignment="1">
      <alignment horizontal="center" vertical="center"/>
    </xf>
    <xf numFmtId="44" fontId="12" fillId="10" borderId="22" xfId="0" applyNumberFormat="1" applyFont="1" applyFill="1" applyBorder="1" applyAlignment="1">
      <alignment horizontal="center" vertical="center"/>
    </xf>
    <xf numFmtId="0" fontId="12" fillId="10" borderId="23" xfId="0" applyFont="1" applyFill="1" applyBorder="1" applyAlignment="1">
      <alignment horizontal="center" vertical="center"/>
    </xf>
    <xf numFmtId="0" fontId="33" fillId="10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30" fillId="10" borderId="19" xfId="0" applyFont="1" applyFill="1" applyBorder="1" applyAlignment="1">
      <alignment horizontal="center" vertical="center"/>
    </xf>
    <xf numFmtId="0" fontId="30" fillId="10" borderId="21" xfId="0" applyFont="1" applyFill="1" applyBorder="1" applyAlignment="1">
      <alignment horizontal="center" vertical="center"/>
    </xf>
    <xf numFmtId="0" fontId="30" fillId="10" borderId="20" xfId="0" applyFont="1" applyFill="1" applyBorder="1" applyAlignment="1">
      <alignment horizontal="center" vertical="center"/>
    </xf>
    <xf numFmtId="49" fontId="30" fillId="10" borderId="19" xfId="0" applyNumberFormat="1" applyFont="1" applyFill="1" applyBorder="1" applyAlignment="1">
      <alignment horizontal="center" vertical="center" wrapText="1"/>
    </xf>
    <xf numFmtId="49" fontId="30" fillId="10" borderId="21" xfId="0" applyNumberFormat="1" applyFont="1" applyFill="1" applyBorder="1" applyAlignment="1">
      <alignment horizontal="center" vertical="center" wrapText="1"/>
    </xf>
    <xf numFmtId="49" fontId="30" fillId="10" borderId="20" xfId="0" applyNumberFormat="1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left" vertical="center"/>
    </xf>
    <xf numFmtId="0" fontId="30" fillId="9" borderId="19" xfId="0" applyFont="1" applyFill="1" applyBorder="1" applyAlignment="1">
      <alignment horizontal="center" vertical="center"/>
    </xf>
    <xf numFmtId="0" fontId="30" fillId="9" borderId="21" xfId="0" applyFont="1" applyFill="1" applyBorder="1" applyAlignment="1">
      <alignment horizontal="center" vertical="center"/>
    </xf>
    <xf numFmtId="0" fontId="30" fillId="9" borderId="20" xfId="0" applyFont="1" applyFill="1" applyBorder="1" applyAlignment="1">
      <alignment horizontal="center" vertical="center"/>
    </xf>
    <xf numFmtId="49" fontId="30" fillId="9" borderId="19" xfId="0" applyNumberFormat="1" applyFont="1" applyFill="1" applyBorder="1" applyAlignment="1">
      <alignment horizontal="center" vertical="center" wrapText="1"/>
    </xf>
    <xf numFmtId="49" fontId="30" fillId="9" borderId="21" xfId="0" applyNumberFormat="1" applyFont="1" applyFill="1" applyBorder="1" applyAlignment="1">
      <alignment horizontal="center" vertical="center"/>
    </xf>
    <xf numFmtId="49" fontId="30" fillId="9" borderId="20" xfId="0" applyNumberFormat="1" applyFont="1" applyFill="1" applyBorder="1" applyAlignment="1">
      <alignment horizontal="center" vertical="center"/>
    </xf>
    <xf numFmtId="49" fontId="30" fillId="0" borderId="19" xfId="0" applyNumberFormat="1" applyFont="1" applyFill="1" applyBorder="1" applyAlignment="1">
      <alignment horizontal="center" vertical="center" wrapText="1"/>
    </xf>
    <xf numFmtId="49" fontId="30" fillId="0" borderId="21" xfId="0" applyNumberFormat="1" applyFont="1" applyFill="1" applyBorder="1" applyAlignment="1">
      <alignment horizontal="center" vertical="center" wrapText="1"/>
    </xf>
    <xf numFmtId="49" fontId="30" fillId="0" borderId="20" xfId="0" applyNumberFormat="1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0" fillId="9" borderId="15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left" vertical="center" wrapText="1"/>
    </xf>
    <xf numFmtId="0" fontId="4" fillId="10" borderId="15" xfId="0" applyFont="1" applyFill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31" fillId="10" borderId="22" xfId="0" applyFont="1" applyFill="1" applyBorder="1" applyAlignment="1">
      <alignment horizontal="left" vertical="center"/>
    </xf>
    <xf numFmtId="0" fontId="31" fillId="10" borderId="23" xfId="0" applyFont="1" applyFill="1" applyBorder="1" applyAlignment="1">
      <alignment horizontal="left" vertical="center"/>
    </xf>
    <xf numFmtId="0" fontId="31" fillId="9" borderId="22" xfId="0" applyFont="1" applyFill="1" applyBorder="1" applyAlignment="1">
      <alignment horizontal="left" vertical="center"/>
    </xf>
    <xf numFmtId="0" fontId="31" fillId="9" borderId="23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49" fontId="30" fillId="9" borderId="15" xfId="0" applyNumberFormat="1" applyFont="1" applyFill="1" applyBorder="1" applyAlignment="1">
      <alignment horizontal="center" vertical="center" wrapText="1"/>
    </xf>
    <xf numFmtId="0" fontId="21" fillId="11" borderId="20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21" fillId="11" borderId="19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 wrapText="1"/>
    </xf>
    <xf numFmtId="0" fontId="12" fillId="11" borderId="15" xfId="0" applyFon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 vertical="center" wrapText="1"/>
    </xf>
    <xf numFmtId="0" fontId="12" fillId="12" borderId="20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 vertical="center"/>
    </xf>
    <xf numFmtId="0" fontId="12" fillId="12" borderId="19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left" vertical="center"/>
    </xf>
    <xf numFmtId="49" fontId="30" fillId="9" borderId="21" xfId="0" applyNumberFormat="1" applyFont="1" applyFill="1" applyBorder="1" applyAlignment="1">
      <alignment horizontal="center" vertical="center" wrapText="1"/>
    </xf>
    <xf numFmtId="49" fontId="30" fillId="9" borderId="20" xfId="0" applyNumberFormat="1" applyFont="1" applyFill="1" applyBorder="1" applyAlignment="1">
      <alignment horizontal="center" vertical="center" wrapText="1"/>
    </xf>
    <xf numFmtId="44" fontId="12" fillId="12" borderId="21" xfId="0" applyNumberFormat="1" applyFont="1" applyFill="1" applyBorder="1" applyAlignment="1">
      <alignment horizontal="center" vertical="center"/>
    </xf>
    <xf numFmtId="44" fontId="12" fillId="12" borderId="20" xfId="0" applyNumberFormat="1" applyFont="1" applyFill="1" applyBorder="1" applyAlignment="1">
      <alignment horizontal="center" vertical="center"/>
    </xf>
    <xf numFmtId="0" fontId="12" fillId="12" borderId="21" xfId="0" applyFont="1" applyFill="1" applyBorder="1" applyAlignment="1">
      <alignment horizontal="center" vertical="center"/>
    </xf>
    <xf numFmtId="0" fontId="12" fillId="12" borderId="21" xfId="0" applyFont="1" applyFill="1" applyBorder="1" applyAlignment="1">
      <alignment horizontal="center" vertical="center" wrapText="1"/>
    </xf>
    <xf numFmtId="0" fontId="12" fillId="12" borderId="20" xfId="0" applyFont="1" applyFill="1" applyBorder="1" applyAlignment="1">
      <alignment horizontal="center" vertical="center" wrapText="1"/>
    </xf>
    <xf numFmtId="0" fontId="4" fillId="20" borderId="19" xfId="0" applyFont="1" applyFill="1" applyBorder="1" applyAlignment="1">
      <alignment horizontal="center" vertical="center"/>
    </xf>
    <xf numFmtId="0" fontId="4" fillId="20" borderId="20" xfId="0" applyFont="1" applyFill="1" applyBorder="1" applyAlignment="1">
      <alignment horizontal="center" vertical="center"/>
    </xf>
    <xf numFmtId="0" fontId="4" fillId="20" borderId="21" xfId="0" applyFont="1" applyFill="1" applyBorder="1" applyAlignment="1">
      <alignment horizontal="center" vertical="center"/>
    </xf>
    <xf numFmtId="14" fontId="9" fillId="5" borderId="6" xfId="4" applyNumberFormat="1" applyFont="1" applyBorder="1" applyAlignment="1">
      <alignment horizontal="center" vertical="center"/>
    </xf>
    <xf numFmtId="14" fontId="9" fillId="5" borderId="17" xfId="4" applyNumberFormat="1" applyFont="1" applyBorder="1" applyAlignment="1">
      <alignment horizontal="center" vertical="center"/>
    </xf>
    <xf numFmtId="14" fontId="9" fillId="5" borderId="2" xfId="4" applyNumberFormat="1" applyFont="1" applyBorder="1" applyAlignment="1">
      <alignment horizontal="center" vertical="center"/>
    </xf>
    <xf numFmtId="14" fontId="9" fillId="5" borderId="8" xfId="4" applyNumberFormat="1" applyFont="1" applyBorder="1" applyAlignment="1">
      <alignment horizontal="center" vertical="center"/>
    </xf>
    <xf numFmtId="14" fontId="9" fillId="5" borderId="11" xfId="4" applyNumberFormat="1" applyFont="1" applyBorder="1" applyAlignment="1">
      <alignment horizontal="center" vertical="center"/>
    </xf>
    <xf numFmtId="14" fontId="9" fillId="5" borderId="9" xfId="4" applyNumberFormat="1" applyFont="1" applyBorder="1" applyAlignment="1">
      <alignment horizontal="center" vertical="center"/>
    </xf>
    <xf numFmtId="0" fontId="27" fillId="16" borderId="8" xfId="0" applyFont="1" applyFill="1" applyBorder="1" applyAlignment="1">
      <alignment horizontal="center" vertical="center" textRotation="90" wrapText="1"/>
    </xf>
    <xf numFmtId="0" fontId="27" fillId="16" borderId="11" xfId="0" applyFont="1" applyFill="1" applyBorder="1" applyAlignment="1">
      <alignment horizontal="center" vertical="center" textRotation="90" wrapText="1"/>
    </xf>
    <xf numFmtId="0" fontId="27" fillId="16" borderId="9" xfId="0" applyFont="1" applyFill="1" applyBorder="1" applyAlignment="1">
      <alignment horizontal="center" vertical="center" textRotation="90" wrapText="1"/>
    </xf>
    <xf numFmtId="14" fontId="9" fillId="5" borderId="16" xfId="4" applyNumberFormat="1" applyFont="1" applyBorder="1" applyAlignment="1">
      <alignment horizontal="center" vertical="center"/>
    </xf>
    <xf numFmtId="14" fontId="9" fillId="5" borderId="0" xfId="4" applyNumberFormat="1" applyFont="1" applyBorder="1" applyAlignment="1">
      <alignment horizontal="center" vertical="center"/>
    </xf>
    <xf numFmtId="14" fontId="9" fillId="5" borderId="24" xfId="4" applyNumberFormat="1" applyFont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 textRotation="90"/>
    </xf>
    <xf numFmtId="0" fontId="12" fillId="16" borderId="11" xfId="0" applyFont="1" applyFill="1" applyBorder="1" applyAlignment="1">
      <alignment horizontal="center" vertical="center" textRotation="90"/>
    </xf>
    <xf numFmtId="0" fontId="12" fillId="16" borderId="9" xfId="0" applyFont="1" applyFill="1" applyBorder="1" applyAlignment="1">
      <alignment horizontal="center" vertical="center" textRotation="90"/>
    </xf>
    <xf numFmtId="0" fontId="12" fillId="6" borderId="8" xfId="0" applyFont="1" applyFill="1" applyBorder="1" applyAlignment="1">
      <alignment horizontal="center" vertical="center" textRotation="90" wrapText="1"/>
    </xf>
    <xf numFmtId="0" fontId="12" fillId="6" borderId="11" xfId="0" applyFont="1" applyFill="1" applyBorder="1" applyAlignment="1">
      <alignment horizontal="center" vertical="center" textRotation="90" wrapText="1"/>
    </xf>
    <xf numFmtId="0" fontId="12" fillId="6" borderId="9" xfId="0" applyFont="1" applyFill="1" applyBorder="1" applyAlignment="1">
      <alignment horizontal="center" vertical="center" textRotation="90" wrapText="1"/>
    </xf>
    <xf numFmtId="0" fontId="27" fillId="6" borderId="8" xfId="0" applyFont="1" applyFill="1" applyBorder="1" applyAlignment="1">
      <alignment horizontal="center" vertical="center" textRotation="90"/>
    </xf>
    <xf numFmtId="0" fontId="27" fillId="6" borderId="11" xfId="0" applyFont="1" applyFill="1" applyBorder="1" applyAlignment="1">
      <alignment horizontal="center" vertical="center" textRotation="90"/>
    </xf>
    <xf numFmtId="0" fontId="27" fillId="6" borderId="9" xfId="0" applyFont="1" applyFill="1" applyBorder="1" applyAlignment="1">
      <alignment horizontal="center" vertical="center" textRotation="90"/>
    </xf>
    <xf numFmtId="0" fontId="12" fillId="6" borderId="8" xfId="0" applyFont="1" applyFill="1" applyBorder="1" applyAlignment="1">
      <alignment horizontal="center" vertical="center" textRotation="90"/>
    </xf>
    <xf numFmtId="0" fontId="12" fillId="6" borderId="11" xfId="0" applyFont="1" applyFill="1" applyBorder="1" applyAlignment="1">
      <alignment horizontal="center" vertical="center" textRotation="90"/>
    </xf>
    <xf numFmtId="0" fontId="12" fillId="6" borderId="9" xfId="0" applyFont="1" applyFill="1" applyBorder="1" applyAlignment="1">
      <alignment horizontal="center" vertical="center" textRotation="90"/>
    </xf>
    <xf numFmtId="49" fontId="11" fillId="15" borderId="8" xfId="4" applyNumberFormat="1" applyFont="1" applyFill="1" applyBorder="1" applyAlignment="1">
      <alignment horizontal="center" vertical="center" textRotation="90"/>
    </xf>
    <xf numFmtId="49" fontId="11" fillId="15" borderId="11" xfId="4" applyNumberFormat="1" applyFont="1" applyFill="1" applyBorder="1" applyAlignment="1">
      <alignment horizontal="center" vertical="center" textRotation="90"/>
    </xf>
    <xf numFmtId="0" fontId="10" fillId="6" borderId="8" xfId="4" applyNumberFormat="1" applyFont="1" applyFill="1" applyBorder="1" applyAlignment="1">
      <alignment horizontal="center" vertical="center" textRotation="90" wrapText="1"/>
    </xf>
    <xf numFmtId="0" fontId="10" fillId="6" borderId="11" xfId="4" applyNumberFormat="1" applyFont="1" applyFill="1" applyBorder="1" applyAlignment="1">
      <alignment horizontal="center" vertical="center" textRotation="90" wrapText="1"/>
    </xf>
    <xf numFmtId="0" fontId="10" fillId="6" borderId="9" xfId="4" applyNumberFormat="1" applyFont="1" applyFill="1" applyBorder="1" applyAlignment="1">
      <alignment horizontal="center" vertical="center" textRotation="90" wrapText="1"/>
    </xf>
    <xf numFmtId="14" fontId="9" fillId="5" borderId="5" xfId="4" applyNumberFormat="1" applyFont="1" applyBorder="1" applyAlignment="1">
      <alignment horizontal="center" vertical="center"/>
    </xf>
    <xf numFmtId="14" fontId="4" fillId="7" borderId="8" xfId="0" applyNumberFormat="1" applyFont="1" applyFill="1" applyBorder="1" applyAlignment="1">
      <alignment horizontal="center" vertical="center"/>
    </xf>
    <xf numFmtId="14" fontId="4" fillId="7" borderId="11" xfId="0" applyNumberFormat="1" applyFont="1" applyFill="1" applyBorder="1" applyAlignment="1">
      <alignment horizontal="center" vertical="center"/>
    </xf>
    <xf numFmtId="14" fontId="4" fillId="7" borderId="9" xfId="0" applyNumberFormat="1" applyFont="1" applyFill="1" applyBorder="1" applyAlignment="1">
      <alignment horizontal="center" vertical="center"/>
    </xf>
    <xf numFmtId="49" fontId="11" fillId="15" borderId="8" xfId="4" applyNumberFormat="1" applyFont="1" applyFill="1" applyBorder="1" applyAlignment="1">
      <alignment horizontal="center" vertical="center" textRotation="90" wrapText="1"/>
    </xf>
    <xf numFmtId="49" fontId="11" fillId="15" borderId="11" xfId="4" applyNumberFormat="1" applyFont="1" applyFill="1" applyBorder="1" applyAlignment="1">
      <alignment horizontal="center" vertical="center" textRotation="90" wrapText="1"/>
    </xf>
    <xf numFmtId="49" fontId="11" fillId="15" borderId="9" xfId="4" applyNumberFormat="1" applyFont="1" applyFill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9" fillId="5" borderId="8" xfId="4" applyFont="1" applyBorder="1" applyAlignment="1">
      <alignment horizontal="center" vertical="center"/>
    </xf>
    <xf numFmtId="0" fontId="9" fillId="5" borderId="9" xfId="4" applyFont="1" applyBorder="1" applyAlignment="1">
      <alignment horizontal="center" vertical="center"/>
    </xf>
    <xf numFmtId="0" fontId="12" fillId="6" borderId="8" xfId="4" applyFont="1" applyFill="1" applyBorder="1" applyAlignment="1">
      <alignment horizontal="center" vertical="center" wrapText="1"/>
    </xf>
    <xf numFmtId="0" fontId="12" fillId="6" borderId="9" xfId="4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textRotation="90"/>
    </xf>
    <xf numFmtId="14" fontId="9" fillId="5" borderId="5" xfId="4" applyNumberFormat="1" applyFont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textRotation="90" wrapText="1"/>
    </xf>
    <xf numFmtId="0" fontId="12" fillId="6" borderId="17" xfId="0" applyFont="1" applyFill="1" applyBorder="1" applyAlignment="1">
      <alignment horizontal="center" vertical="center" textRotation="90" wrapText="1"/>
    </xf>
    <xf numFmtId="0" fontId="12" fillId="6" borderId="2" xfId="0" applyFont="1" applyFill="1" applyBorder="1" applyAlignment="1">
      <alignment horizontal="center" vertical="center" textRotation="90" wrapText="1"/>
    </xf>
    <xf numFmtId="0" fontId="11" fillId="15" borderId="8" xfId="4" applyFont="1" applyFill="1" applyBorder="1" applyAlignment="1">
      <alignment horizontal="center" vertical="center" textRotation="90" wrapText="1"/>
    </xf>
    <xf numFmtId="0" fontId="11" fillId="15" borderId="9" xfId="4" applyFont="1" applyFill="1" applyBorder="1" applyAlignment="1">
      <alignment horizontal="center" vertical="center" textRotation="90" wrapText="1"/>
    </xf>
    <xf numFmtId="49" fontId="11" fillId="15" borderId="9" xfId="4" applyNumberFormat="1" applyFont="1" applyFill="1" applyBorder="1" applyAlignment="1">
      <alignment horizontal="center" vertical="center" textRotation="90"/>
    </xf>
    <xf numFmtId="14" fontId="9" fillId="7" borderId="12" xfId="0" applyNumberFormat="1" applyFont="1" applyFill="1" applyBorder="1" applyAlignment="1">
      <alignment horizontal="center" vertical="center"/>
    </xf>
    <xf numFmtId="14" fontId="9" fillId="7" borderId="13" xfId="0" applyNumberFormat="1" applyFont="1" applyFill="1" applyBorder="1" applyAlignment="1">
      <alignment horizontal="center" vertical="center"/>
    </xf>
    <xf numFmtId="14" fontId="9" fillId="7" borderId="14" xfId="0" applyNumberFormat="1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center" textRotation="90" wrapText="1"/>
    </xf>
    <xf numFmtId="0" fontId="20" fillId="6" borderId="9" xfId="0" applyFont="1" applyFill="1" applyBorder="1" applyAlignment="1">
      <alignment horizontal="center" textRotation="90" wrapText="1"/>
    </xf>
    <xf numFmtId="14" fontId="11" fillId="6" borderId="8" xfId="4" applyNumberFormat="1" applyFont="1" applyFill="1" applyBorder="1" applyAlignment="1">
      <alignment horizontal="center" vertical="center" textRotation="90" wrapText="1"/>
    </xf>
    <xf numFmtId="14" fontId="11" fillId="6" borderId="11" xfId="4" applyNumberFormat="1" applyFont="1" applyFill="1" applyBorder="1" applyAlignment="1">
      <alignment horizontal="center" vertical="center" textRotation="90" wrapText="1"/>
    </xf>
    <xf numFmtId="14" fontId="11" fillId="6" borderId="9" xfId="4" applyNumberFormat="1" applyFont="1" applyFill="1" applyBorder="1" applyAlignment="1">
      <alignment horizontal="center" vertical="center" textRotation="90" wrapText="1"/>
    </xf>
    <xf numFmtId="14" fontId="9" fillId="5" borderId="12" xfId="4" applyNumberFormat="1" applyFont="1" applyBorder="1" applyAlignment="1">
      <alignment horizontal="center" vertical="center"/>
    </xf>
    <xf numFmtId="14" fontId="9" fillId="5" borderId="13" xfId="4" applyNumberFormat="1" applyFont="1" applyBorder="1" applyAlignment="1">
      <alignment horizontal="center" vertical="center"/>
    </xf>
    <xf numFmtId="14" fontId="9" fillId="5" borderId="14" xfId="4" applyNumberFormat="1" applyFont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 textRotation="90" wrapText="1"/>
    </xf>
    <xf numFmtId="0" fontId="12" fillId="16" borderId="11" xfId="0" applyFont="1" applyFill="1" applyBorder="1" applyAlignment="1">
      <alignment horizontal="center" vertical="center" textRotation="90" wrapText="1"/>
    </xf>
    <xf numFmtId="0" fontId="12" fillId="16" borderId="9" xfId="0" applyFont="1" applyFill="1" applyBorder="1" applyAlignment="1">
      <alignment horizontal="center" vertical="center" textRotation="90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4" fillId="9" borderId="19" xfId="0" applyFont="1" applyFill="1" applyBorder="1" applyAlignment="1">
      <alignment horizontal="center" vertical="center"/>
    </xf>
    <xf numFmtId="0" fontId="34" fillId="9" borderId="21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4" fontId="12" fillId="12" borderId="15" xfId="0" applyNumberFormat="1" applyFont="1" applyFill="1" applyBorder="1" applyAlignment="1">
      <alignment horizontal="center" vertical="center"/>
    </xf>
    <xf numFmtId="0" fontId="34" fillId="21" borderId="22" xfId="0" applyFont="1" applyFill="1" applyBorder="1" applyAlignment="1">
      <alignment horizontal="center" vertical="center"/>
    </xf>
    <xf numFmtId="0" fontId="34" fillId="21" borderId="23" xfId="0" applyFont="1" applyFill="1" applyBorder="1" applyAlignment="1">
      <alignment horizontal="center" vertical="center"/>
    </xf>
    <xf numFmtId="0" fontId="34" fillId="14" borderId="19" xfId="0" applyFont="1" applyFill="1" applyBorder="1" applyAlignment="1">
      <alignment horizontal="center" vertical="center"/>
    </xf>
    <xf numFmtId="0" fontId="34" fillId="14" borderId="20" xfId="0" applyFont="1" applyFill="1" applyBorder="1" applyAlignment="1">
      <alignment horizontal="center" vertical="center"/>
    </xf>
    <xf numFmtId="0" fontId="34" fillId="15" borderId="19" xfId="0" applyFont="1" applyFill="1" applyBorder="1" applyAlignment="1">
      <alignment horizontal="center" vertical="center"/>
    </xf>
    <xf numFmtId="0" fontId="34" fillId="15" borderId="20" xfId="0" applyFont="1" applyFill="1" applyBorder="1" applyAlignment="1">
      <alignment horizontal="center" vertical="center"/>
    </xf>
    <xf numFmtId="49" fontId="30" fillId="0" borderId="15" xfId="0" applyNumberFormat="1" applyFont="1" applyFill="1" applyBorder="1" applyAlignment="1">
      <alignment horizontal="center" vertical="center" wrapText="1"/>
    </xf>
    <xf numFmtId="0" fontId="34" fillId="14" borderId="19" xfId="0" applyFont="1" applyFill="1" applyBorder="1" applyAlignment="1">
      <alignment horizontal="center" vertical="center" wrapText="1"/>
    </xf>
    <xf numFmtId="49" fontId="30" fillId="10" borderId="15" xfId="0" applyNumberFormat="1" applyFont="1" applyFill="1" applyBorder="1" applyAlignment="1">
      <alignment horizontal="center" vertical="center" wrapText="1"/>
    </xf>
    <xf numFmtId="49" fontId="4" fillId="10" borderId="19" xfId="0" applyNumberFormat="1" applyFont="1" applyFill="1" applyBorder="1" applyAlignment="1">
      <alignment horizontal="center" vertical="center"/>
    </xf>
    <xf numFmtId="49" fontId="4" fillId="10" borderId="20" xfId="0" applyNumberFormat="1" applyFont="1" applyFill="1" applyBorder="1" applyAlignment="1">
      <alignment horizontal="center" vertical="center"/>
    </xf>
    <xf numFmtId="14" fontId="22" fillId="7" borderId="8" xfId="0" applyNumberFormat="1" applyFont="1" applyFill="1" applyBorder="1" applyAlignment="1">
      <alignment horizontal="center" vertical="center"/>
    </xf>
    <xf numFmtId="14" fontId="22" fillId="7" borderId="9" xfId="0" applyNumberFormat="1" applyFont="1" applyFill="1" applyBorder="1" applyAlignment="1">
      <alignment horizontal="center" vertical="center"/>
    </xf>
    <xf numFmtId="14" fontId="22" fillId="7" borderId="11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5">
    <cellStyle name="Bad" xfId="2" builtinId="27"/>
    <cellStyle name="Calculation" xfId="3" builtinId="22"/>
    <cellStyle name="Good" xfId="1" builtinId="26"/>
    <cellStyle name="Input" xfId="4" builtinId="20"/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34" formatCode="_-&quot;Rp&quot;* #,##0.00_-;\-&quot;Rp&quot;* #,##0.00_-;_-&quot;Rp&quot;* &quot;-&quot;??_-;_-@_-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_-&quot;Rp&quot;* #,##0_-;\-&quot;Rp&quot;* #,##0_-;_-&quot;Rp&quot;* &quot;-&quot;??_-;_-@_-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_-&quot;Rp&quot;* #,##0_-;\-&quot;Rp&quot;* #,##0_-;_-&quot;Rp&quot;* &quot;-&quot;??_-;_-@_-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alignment horizont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4FFAF"/>
      <color rgb="FFFFFFFF"/>
      <color rgb="FFEAFCED"/>
      <color rgb="FFCCF8D3"/>
      <color rgb="FFF8FEF9"/>
      <color rgb="FFE7FDE9"/>
      <color rgb="FFCCFFCC"/>
      <color rgb="FF0033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31101</xdr:colOff>
      <xdr:row>0</xdr:row>
      <xdr:rowOff>52514</xdr:rowOff>
    </xdr:from>
    <xdr:to>
      <xdr:col>2</xdr:col>
      <xdr:colOff>527458</xdr:colOff>
      <xdr:row>0</xdr:row>
      <xdr:rowOff>542480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651" y="52514"/>
          <a:ext cx="496357" cy="489966"/>
        </a:xfrm>
        <a:prstGeom prst="rect">
          <a:avLst/>
        </a:prstGeom>
      </xdr:spPr>
    </xdr:pic>
    <xdr:clientData/>
  </xdr:twoCellAnchor>
  <xdr:twoCellAnchor editAs="oneCell">
    <xdr:from>
      <xdr:col>9</xdr:col>
      <xdr:colOff>523875</xdr:colOff>
      <xdr:row>0</xdr:row>
      <xdr:rowOff>104776</xdr:rowOff>
    </xdr:from>
    <xdr:to>
      <xdr:col>9</xdr:col>
      <xdr:colOff>1014414</xdr:colOff>
      <xdr:row>0</xdr:row>
      <xdr:rowOff>539354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>
                      <a14:foregroundMark x1="41146" y1="64453" x2="41146" y2="64453"/>
                      <a14:foregroundMark x1="58594" y1="42578" x2="58594" y2="42578"/>
                      <a14:foregroundMark x1="82292" y1="30208" x2="82292" y2="30208"/>
                      <a14:foregroundMark x1="22266" y1="29948" x2="22266" y2="2994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468" t="13579" r="9689" b="15618"/>
        <a:stretch/>
      </xdr:blipFill>
      <xdr:spPr>
        <a:xfrm>
          <a:off x="9858375" y="104776"/>
          <a:ext cx="490539" cy="4345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32" displayName="Table32" ref="B1:E25" totalsRowShown="0" headerRowDxfId="8" dataDxfId="6" headerRowBorderDxfId="7" tableBorderDxfId="5" totalsRowBorderDxfId="4">
  <autoFilter ref="B1:E25"/>
  <tableColumns count="4">
    <tableColumn id="1" name="Keterangan" dataDxfId="3"/>
    <tableColumn id="2" name="Keluar" dataDxfId="2"/>
    <tableColumn id="3" name="Masuk" dataDxfId="1"/>
    <tableColumn id="4" name="Saldo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P184"/>
  <sheetViews>
    <sheetView tabSelected="1" zoomScaleNormal="100" zoomScaleSheetLayoutView="85" workbookViewId="0">
      <pane xSplit="3" ySplit="6" topLeftCell="D47" activePane="bottomRight" state="frozen"/>
      <selection pane="topRight" activeCell="D1" sqref="D1"/>
      <selection pane="bottomLeft" activeCell="A5" sqref="A5"/>
      <selection pane="bottomRight" activeCell="H59" sqref="H59"/>
    </sheetView>
  </sheetViews>
  <sheetFormatPr defaultRowHeight="15" x14ac:dyDescent="0.25"/>
  <cols>
    <col min="1" max="1" width="4" customWidth="1"/>
    <col min="2" max="2" width="10.5703125" customWidth="1"/>
    <col min="3" max="3" width="11" customWidth="1"/>
    <col min="4" max="4" width="13.7109375" customWidth="1"/>
    <col min="5" max="5" width="27.42578125" customWidth="1"/>
    <col min="6" max="6" width="21.140625" style="57" customWidth="1"/>
    <col min="7" max="7" width="19.7109375" customWidth="1"/>
    <col min="8" max="8" width="15.140625" customWidth="1"/>
    <col min="9" max="9" width="17.28515625" customWidth="1"/>
    <col min="10" max="10" width="19.140625" customWidth="1"/>
    <col min="11" max="11" width="18.28515625" customWidth="1"/>
    <col min="12" max="12" width="9.28515625" bestFit="1" customWidth="1"/>
    <col min="14" max="14" width="19.85546875" customWidth="1"/>
    <col min="16" max="16" width="17.7109375" bestFit="1" customWidth="1"/>
  </cols>
  <sheetData>
    <row r="1" spans="1:14" ht="50.25" customHeight="1" x14ac:dyDescent="0.25">
      <c r="A1" s="185" t="s">
        <v>309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4" ht="27" customHeight="1" x14ac:dyDescent="0.25">
      <c r="A2" s="216" t="s">
        <v>68</v>
      </c>
      <c r="B2" s="219" t="s">
        <v>289</v>
      </c>
      <c r="C2" s="219" t="s">
        <v>174</v>
      </c>
      <c r="D2" s="179" t="s">
        <v>290</v>
      </c>
      <c r="E2" s="180"/>
      <c r="F2" s="229" t="s">
        <v>291</v>
      </c>
      <c r="G2" s="231" t="s">
        <v>292</v>
      </c>
      <c r="H2" s="232" t="s">
        <v>293</v>
      </c>
      <c r="I2" s="179" t="s">
        <v>294</v>
      </c>
      <c r="J2" s="180"/>
      <c r="K2" s="222" t="s">
        <v>295</v>
      </c>
    </row>
    <row r="3" spans="1:14" ht="20.100000000000001" customHeight="1" x14ac:dyDescent="0.25">
      <c r="A3" s="217"/>
      <c r="B3" s="220"/>
      <c r="C3" s="220"/>
      <c r="D3" s="179"/>
      <c r="E3" s="180"/>
      <c r="F3" s="229"/>
      <c r="G3" s="231"/>
      <c r="H3" s="232"/>
      <c r="I3" s="181"/>
      <c r="J3" s="182"/>
      <c r="K3" s="223"/>
      <c r="N3" s="57"/>
    </row>
    <row r="4" spans="1:14" ht="20.100000000000001" customHeight="1" x14ac:dyDescent="0.25">
      <c r="A4" s="218"/>
      <c r="B4" s="221"/>
      <c r="C4" s="221"/>
      <c r="D4" s="181"/>
      <c r="E4" s="182"/>
      <c r="F4" s="230"/>
      <c r="G4" s="222"/>
      <c r="H4" s="233"/>
      <c r="I4" s="183">
        <f>F5-G5+H5</f>
        <v>6974000</v>
      </c>
      <c r="J4" s="184"/>
      <c r="K4" s="224"/>
      <c r="N4" s="57"/>
    </row>
    <row r="5" spans="1:14" ht="20.100000000000001" customHeight="1" x14ac:dyDescent="0.25">
      <c r="A5" s="218"/>
      <c r="B5" s="221"/>
      <c r="C5" s="221"/>
      <c r="D5" s="137" t="s">
        <v>153</v>
      </c>
      <c r="E5" s="138">
        <f>SUM(B7:B103)</f>
        <v>50</v>
      </c>
      <c r="F5" s="139">
        <f>SUM(F7:F103)</f>
        <v>81023000</v>
      </c>
      <c r="G5" s="140">
        <f>SUM(G7:G103)</f>
        <v>74077000</v>
      </c>
      <c r="H5" s="141">
        <f>SUM(H7:H103)</f>
        <v>28000</v>
      </c>
      <c r="I5" s="176" t="s">
        <v>314</v>
      </c>
      <c r="J5" s="177" t="s">
        <v>315</v>
      </c>
      <c r="K5" s="224"/>
    </row>
    <row r="6" spans="1:14" ht="5.0999999999999996" customHeight="1" x14ac:dyDescent="0.25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</row>
    <row r="7" spans="1:14" s="143" customFormat="1" ht="20.100000000000001" customHeight="1" x14ac:dyDescent="0.25">
      <c r="A7" s="133">
        <v>1</v>
      </c>
      <c r="B7" s="196">
        <f>COUNTA(D7:E8)</f>
        <v>2</v>
      </c>
      <c r="C7" s="227" t="s">
        <v>169</v>
      </c>
      <c r="D7" s="226" t="s">
        <v>298</v>
      </c>
      <c r="E7" s="226"/>
      <c r="F7" s="134">
        <v>7900000</v>
      </c>
      <c r="G7" s="134">
        <v>7652500</v>
      </c>
      <c r="H7" s="134">
        <v>0</v>
      </c>
      <c r="I7" s="168">
        <f>IF(F7&gt;G7,F7-G7,0)</f>
        <v>247500</v>
      </c>
      <c r="J7" s="178">
        <f>IF(F7&lt;G7,G7-F7,0)+H7</f>
        <v>0</v>
      </c>
      <c r="K7" s="120">
        <f>IF(OR(F7&lt;&gt;0,G7&lt;&gt;0),SUM($F$7:F7)-SUM($G$7:G7)+SUM($H$7:H7),0)</f>
        <v>247500</v>
      </c>
    </row>
    <row r="8" spans="1:14" s="143" customFormat="1" ht="20.100000000000001" customHeight="1" x14ac:dyDescent="0.25">
      <c r="A8" s="14">
        <v>2</v>
      </c>
      <c r="B8" s="206"/>
      <c r="C8" s="228"/>
      <c r="D8" s="193" t="s">
        <v>299</v>
      </c>
      <c r="E8" s="193"/>
      <c r="F8" s="120">
        <v>4818000</v>
      </c>
      <c r="G8" s="120">
        <v>4020500</v>
      </c>
      <c r="H8" s="120">
        <v>0</v>
      </c>
      <c r="I8" s="168">
        <f t="shared" ref="I8:I71" si="0">IF(F8&gt;G8,F8-G8,0)</f>
        <v>797500</v>
      </c>
      <c r="J8" s="178">
        <f t="shared" ref="J8:J72" si="1">IF(F8&lt;G8,G8-F8,0)+H8</f>
        <v>0</v>
      </c>
      <c r="K8" s="120">
        <f>IF(OR(F8&lt;&gt;0,G8&lt;&gt;0),SUM($F$7:F8)-SUM($G$7:G8)+SUM($H$7:H8),0)</f>
        <v>1045000</v>
      </c>
    </row>
    <row r="9" spans="1:14" s="143" customFormat="1" ht="20.100000000000001" customHeight="1" x14ac:dyDescent="0.25">
      <c r="A9" s="14">
        <v>3</v>
      </c>
      <c r="B9" s="225">
        <f>COUNTA(D9:E17)</f>
        <v>9</v>
      </c>
      <c r="C9" s="200" t="s">
        <v>170</v>
      </c>
      <c r="D9" s="186" t="s">
        <v>69</v>
      </c>
      <c r="E9" s="186"/>
      <c r="F9" s="113">
        <v>700000</v>
      </c>
      <c r="G9" s="144">
        <v>582000</v>
      </c>
      <c r="H9" s="113">
        <v>0</v>
      </c>
      <c r="I9" s="168">
        <f t="shared" si="0"/>
        <v>118000</v>
      </c>
      <c r="J9" s="178">
        <f t="shared" si="1"/>
        <v>0</v>
      </c>
      <c r="K9" s="122">
        <f>IF(OR(F9&lt;&gt;0,G9&lt;&gt;0),SUM($F$7:F9)-SUM($G$7:G9)+SUM($H$7:H9),0)</f>
        <v>1163000</v>
      </c>
    </row>
    <row r="10" spans="1:14" s="143" customFormat="1" ht="20.100000000000001" customHeight="1" x14ac:dyDescent="0.25">
      <c r="A10" s="14">
        <v>4</v>
      </c>
      <c r="B10" s="225"/>
      <c r="C10" s="201"/>
      <c r="D10" s="186" t="s">
        <v>70</v>
      </c>
      <c r="E10" s="186"/>
      <c r="F10" s="113">
        <v>450000</v>
      </c>
      <c r="G10" s="113">
        <v>633500</v>
      </c>
      <c r="H10" s="113">
        <v>0</v>
      </c>
      <c r="I10" s="168">
        <f t="shared" si="0"/>
        <v>0</v>
      </c>
      <c r="J10" s="178">
        <f t="shared" si="1"/>
        <v>183500</v>
      </c>
      <c r="K10" s="122">
        <f>IF(OR(F10&lt;&gt;0,G10&lt;&gt;0),SUM($F$7:F10)-SUM($G$7:G10)+SUM($H$7:H10),0)</f>
        <v>979500</v>
      </c>
    </row>
    <row r="11" spans="1:14" s="143" customFormat="1" ht="20.100000000000001" customHeight="1" x14ac:dyDescent="0.25">
      <c r="A11" s="14">
        <v>5</v>
      </c>
      <c r="B11" s="225"/>
      <c r="C11" s="201"/>
      <c r="D11" s="186" t="s">
        <v>71</v>
      </c>
      <c r="E11" s="186"/>
      <c r="F11" s="113">
        <v>500000</v>
      </c>
      <c r="G11" s="113">
        <v>477000</v>
      </c>
      <c r="H11" s="113">
        <v>0</v>
      </c>
      <c r="I11" s="168">
        <f t="shared" si="0"/>
        <v>23000</v>
      </c>
      <c r="J11" s="178">
        <f t="shared" si="1"/>
        <v>0</v>
      </c>
      <c r="K11" s="122">
        <f>IF(OR(F11&lt;&gt;0,G11&lt;&gt;0),SUM($F$7:F11)-SUM($G$7:G11)+SUM($H$7:H11),0)</f>
        <v>1002500</v>
      </c>
    </row>
    <row r="12" spans="1:14" s="143" customFormat="1" ht="20.100000000000001" customHeight="1" x14ac:dyDescent="0.25">
      <c r="A12" s="14">
        <v>6</v>
      </c>
      <c r="B12" s="225"/>
      <c r="C12" s="201"/>
      <c r="D12" s="186" t="s">
        <v>49</v>
      </c>
      <c r="E12" s="186"/>
      <c r="F12" s="113">
        <v>200000</v>
      </c>
      <c r="G12" s="113">
        <v>199000</v>
      </c>
      <c r="H12" s="113">
        <v>0</v>
      </c>
      <c r="I12" s="168">
        <f t="shared" si="0"/>
        <v>1000</v>
      </c>
      <c r="J12" s="178">
        <f t="shared" si="1"/>
        <v>0</v>
      </c>
      <c r="K12" s="122">
        <f>IF(OR(F12&lt;&gt;0,G12&lt;&gt;0),SUM($F$7:F12)-SUM($G$7:G12)+SUM($H$7:H12),0)</f>
        <v>1003500</v>
      </c>
    </row>
    <row r="13" spans="1:14" s="143" customFormat="1" ht="20.100000000000001" customHeight="1" x14ac:dyDescent="0.25">
      <c r="A13" s="14">
        <v>7</v>
      </c>
      <c r="B13" s="225"/>
      <c r="C13" s="201"/>
      <c r="D13" s="186" t="s">
        <v>40</v>
      </c>
      <c r="E13" s="186"/>
      <c r="F13" s="113">
        <v>650000</v>
      </c>
      <c r="G13" s="113">
        <v>657000</v>
      </c>
      <c r="H13" s="113">
        <v>7000</v>
      </c>
      <c r="I13" s="168">
        <f t="shared" si="0"/>
        <v>0</v>
      </c>
      <c r="J13" s="178">
        <f>IF(F13&lt;G13,G13-F13,0)+H13</f>
        <v>14000</v>
      </c>
      <c r="K13" s="122">
        <f>IF(OR(F13&lt;&gt;0,G13&lt;&gt;0),SUM($F$7:F13)-SUM($G$7:G13)+SUM($H$7:H13),0)</f>
        <v>1003500</v>
      </c>
    </row>
    <row r="14" spans="1:14" s="143" customFormat="1" ht="20.100000000000001" customHeight="1" x14ac:dyDescent="0.25">
      <c r="A14" s="14">
        <v>8</v>
      </c>
      <c r="B14" s="225"/>
      <c r="C14" s="201"/>
      <c r="D14" s="186" t="s">
        <v>59</v>
      </c>
      <c r="E14" s="186"/>
      <c r="F14" s="113">
        <v>1440000</v>
      </c>
      <c r="G14" s="113">
        <v>1123000</v>
      </c>
      <c r="H14" s="113">
        <v>0</v>
      </c>
      <c r="I14" s="168">
        <f t="shared" si="0"/>
        <v>317000</v>
      </c>
      <c r="J14" s="178">
        <f t="shared" si="1"/>
        <v>0</v>
      </c>
      <c r="K14" s="122">
        <f>IF(OR(F14&lt;&gt;0,G14&lt;&gt;0),SUM($F$7:F14)-SUM($G$7:G14)+SUM($H$7:H14),0)</f>
        <v>1320500</v>
      </c>
    </row>
    <row r="15" spans="1:14" s="143" customFormat="1" ht="20.100000000000001" customHeight="1" x14ac:dyDescent="0.25">
      <c r="A15" s="14">
        <v>9</v>
      </c>
      <c r="B15" s="225"/>
      <c r="C15" s="201"/>
      <c r="D15" s="186" t="s">
        <v>72</v>
      </c>
      <c r="E15" s="186"/>
      <c r="F15" s="113">
        <v>2060000</v>
      </c>
      <c r="G15" s="113">
        <v>1900000</v>
      </c>
      <c r="H15" s="113">
        <v>0</v>
      </c>
      <c r="I15" s="168">
        <f t="shared" si="0"/>
        <v>160000</v>
      </c>
      <c r="J15" s="178">
        <f t="shared" si="1"/>
        <v>0</v>
      </c>
      <c r="K15" s="122">
        <f>IF(OR(F15&lt;&gt;0,G15&lt;&gt;0),SUM($F$7:F15)-SUM($G$7:G15)+SUM($H$7:H15),0)</f>
        <v>1480500</v>
      </c>
    </row>
    <row r="16" spans="1:14" s="143" customFormat="1" ht="20.100000000000001" customHeight="1" x14ac:dyDescent="0.25">
      <c r="A16" s="14">
        <v>10</v>
      </c>
      <c r="B16" s="225"/>
      <c r="C16" s="201"/>
      <c r="D16" s="186" t="s">
        <v>73</v>
      </c>
      <c r="E16" s="186"/>
      <c r="F16" s="113">
        <v>1780000</v>
      </c>
      <c r="G16" s="113">
        <v>1780000</v>
      </c>
      <c r="H16" s="113">
        <v>0</v>
      </c>
      <c r="I16" s="168">
        <f t="shared" si="0"/>
        <v>0</v>
      </c>
      <c r="J16" s="178">
        <f t="shared" si="1"/>
        <v>0</v>
      </c>
      <c r="K16" s="122">
        <f>IF(OR(F16&lt;&gt;0,G16&lt;&gt;0),SUM($F$7:F16)-SUM($G$7:G16)+SUM($H$7:H16),0)</f>
        <v>1480500</v>
      </c>
    </row>
    <row r="17" spans="1:16" s="143" customFormat="1" ht="20.100000000000001" customHeight="1" x14ac:dyDescent="0.25">
      <c r="A17" s="14">
        <v>10</v>
      </c>
      <c r="B17" s="225"/>
      <c r="C17" s="202"/>
      <c r="D17" s="186" t="s">
        <v>87</v>
      </c>
      <c r="E17" s="186"/>
      <c r="F17" s="113">
        <v>900000</v>
      </c>
      <c r="G17" s="113">
        <v>564000</v>
      </c>
      <c r="H17" s="113">
        <v>0</v>
      </c>
      <c r="I17" s="168">
        <f t="shared" si="0"/>
        <v>336000</v>
      </c>
      <c r="J17" s="178">
        <f t="shared" si="1"/>
        <v>0</v>
      </c>
      <c r="K17" s="122">
        <f>IF(OR(F17&lt;&gt;0,G17&lt;&gt;0),SUM($F$7:F17)-SUM($G$7:G17)+SUM($H$7:H17),0)</f>
        <v>1816500</v>
      </c>
    </row>
    <row r="18" spans="1:16" s="143" customFormat="1" ht="20.100000000000001" customHeight="1" x14ac:dyDescent="0.25">
      <c r="A18" s="14">
        <v>11</v>
      </c>
      <c r="B18" s="206">
        <f>COUNTA(D18:E20)</f>
        <v>3</v>
      </c>
      <c r="C18" s="197" t="s">
        <v>171</v>
      </c>
      <c r="D18" s="193" t="s">
        <v>88</v>
      </c>
      <c r="E18" s="193"/>
      <c r="F18" s="120">
        <v>3750000</v>
      </c>
      <c r="G18" s="120">
        <v>3398500</v>
      </c>
      <c r="H18" s="120">
        <v>0</v>
      </c>
      <c r="I18" s="168">
        <f t="shared" si="0"/>
        <v>351500</v>
      </c>
      <c r="J18" s="178">
        <f t="shared" si="1"/>
        <v>0</v>
      </c>
      <c r="K18" s="120">
        <f>IF(OR(F18&lt;&gt;0,G18&lt;&gt;0),SUM($F$7:F18)-SUM($G$7:G18)+SUM($H$7:H18),0)</f>
        <v>2168000</v>
      </c>
    </row>
    <row r="19" spans="1:16" s="143" customFormat="1" ht="20.100000000000001" customHeight="1" x14ac:dyDescent="0.25">
      <c r="A19" s="14">
        <v>12</v>
      </c>
      <c r="B19" s="206"/>
      <c r="C19" s="227"/>
      <c r="D19" s="193" t="s">
        <v>96</v>
      </c>
      <c r="E19" s="193"/>
      <c r="F19" s="120">
        <v>2740000</v>
      </c>
      <c r="G19" s="120">
        <v>2307000</v>
      </c>
      <c r="H19" s="120">
        <v>0</v>
      </c>
      <c r="I19" s="168">
        <f t="shared" si="0"/>
        <v>433000</v>
      </c>
      <c r="J19" s="178">
        <f t="shared" si="1"/>
        <v>0</v>
      </c>
      <c r="K19" s="120">
        <f>IF(OR(F19&lt;&gt;0,G19&lt;&gt;0),SUM($F$7:F19)-SUM($G$7:G19)+SUM($H$7:H19),0)</f>
        <v>2601000</v>
      </c>
    </row>
    <row r="20" spans="1:16" s="143" customFormat="1" ht="20.100000000000001" customHeight="1" x14ac:dyDescent="0.25">
      <c r="A20" s="14">
        <v>13</v>
      </c>
      <c r="B20" s="206"/>
      <c r="C20" s="228"/>
      <c r="D20" s="193" t="s">
        <v>296</v>
      </c>
      <c r="E20" s="193"/>
      <c r="F20" s="120">
        <v>2420000</v>
      </c>
      <c r="G20" s="120">
        <v>2397000</v>
      </c>
      <c r="H20" s="120">
        <v>0</v>
      </c>
      <c r="I20" s="168">
        <f t="shared" si="0"/>
        <v>23000</v>
      </c>
      <c r="J20" s="178">
        <f t="shared" si="1"/>
        <v>0</v>
      </c>
      <c r="K20" s="120">
        <f>IF(OR(F20&lt;&gt;0,G20&lt;&gt;0),SUM($F$7:F20)-SUM($G$7:G20)+SUM($H$7:H20),0)</f>
        <v>2624000</v>
      </c>
    </row>
    <row r="21" spans="1:16" s="143" customFormat="1" ht="20.100000000000001" customHeight="1" x14ac:dyDescent="0.25">
      <c r="A21" s="14">
        <v>14</v>
      </c>
      <c r="B21" s="225">
        <f>COUNTA(D21:E29)</f>
        <v>9</v>
      </c>
      <c r="C21" s="200" t="s">
        <v>172</v>
      </c>
      <c r="D21" s="214" t="s">
        <v>125</v>
      </c>
      <c r="E21" s="214"/>
      <c r="F21" s="121">
        <v>1950000</v>
      </c>
      <c r="G21" s="121">
        <v>1866500</v>
      </c>
      <c r="H21" s="121">
        <v>0</v>
      </c>
      <c r="I21" s="168">
        <f t="shared" si="0"/>
        <v>83500</v>
      </c>
      <c r="J21" s="178">
        <f t="shared" si="1"/>
        <v>0</v>
      </c>
      <c r="K21" s="122">
        <f>IF(OR(F21&lt;&gt;0,G21&lt;&gt;0),SUM($F$7:F21)-SUM($G$7:G21)+SUM($H$7:H21),0)</f>
        <v>2707500</v>
      </c>
    </row>
    <row r="22" spans="1:16" s="143" customFormat="1" ht="20.100000000000001" customHeight="1" x14ac:dyDescent="0.25">
      <c r="A22" s="14">
        <v>15</v>
      </c>
      <c r="B22" s="225"/>
      <c r="C22" s="201"/>
      <c r="D22" s="214" t="s">
        <v>114</v>
      </c>
      <c r="E22" s="214"/>
      <c r="F22" s="121">
        <v>4800000</v>
      </c>
      <c r="G22" s="121">
        <v>3468500</v>
      </c>
      <c r="H22" s="121">
        <v>0</v>
      </c>
      <c r="I22" s="168">
        <f t="shared" si="0"/>
        <v>1331500</v>
      </c>
      <c r="J22" s="178">
        <f t="shared" si="1"/>
        <v>0</v>
      </c>
      <c r="K22" s="122">
        <f>IF(OR(F22&lt;&gt;0,G22&lt;&gt;0),SUM($F$7:F22)-SUM($G$7:G22)+SUM($H$7:H22),0)</f>
        <v>4039000</v>
      </c>
    </row>
    <row r="23" spans="1:16" s="143" customFormat="1" ht="20.100000000000001" customHeight="1" x14ac:dyDescent="0.25">
      <c r="A23" s="14">
        <v>16</v>
      </c>
      <c r="B23" s="225"/>
      <c r="C23" s="201"/>
      <c r="D23" s="214" t="s">
        <v>126</v>
      </c>
      <c r="E23" s="214"/>
      <c r="F23" s="121">
        <v>450000</v>
      </c>
      <c r="G23" s="121">
        <v>450000</v>
      </c>
      <c r="H23" s="121">
        <v>0</v>
      </c>
      <c r="I23" s="168">
        <f t="shared" si="0"/>
        <v>0</v>
      </c>
      <c r="J23" s="178">
        <f t="shared" si="1"/>
        <v>0</v>
      </c>
      <c r="K23" s="122">
        <f>IF(OR(F23&lt;&gt;0,G23&lt;&gt;0),SUM($F$7:F23)-SUM($G$7:G23)+SUM($H$7:H23),0)</f>
        <v>4039000</v>
      </c>
    </row>
    <row r="24" spans="1:16" s="143" customFormat="1" ht="20.100000000000001" customHeight="1" x14ac:dyDescent="0.25">
      <c r="A24" s="14">
        <v>17</v>
      </c>
      <c r="B24" s="225"/>
      <c r="C24" s="201"/>
      <c r="D24" s="186" t="s">
        <v>186</v>
      </c>
      <c r="E24" s="186"/>
      <c r="F24" s="121">
        <v>350000</v>
      </c>
      <c r="G24" s="121">
        <v>377000</v>
      </c>
      <c r="H24" s="121">
        <v>0</v>
      </c>
      <c r="I24" s="168">
        <f t="shared" si="0"/>
        <v>0</v>
      </c>
      <c r="J24" s="178">
        <f t="shared" si="1"/>
        <v>27000</v>
      </c>
      <c r="K24" s="122">
        <f>IF(OR(F24&lt;&gt;0,G24&lt;&gt;0),SUM($F$7:F24)-SUM($G$7:G24)+SUM($H$7:H24),0)</f>
        <v>4012000</v>
      </c>
      <c r="N24" s="145"/>
    </row>
    <row r="25" spans="1:16" s="143" customFormat="1" ht="20.100000000000001" customHeight="1" x14ac:dyDescent="0.25">
      <c r="A25" s="14">
        <v>18</v>
      </c>
      <c r="B25" s="225"/>
      <c r="C25" s="201"/>
      <c r="D25" s="208" t="s">
        <v>129</v>
      </c>
      <c r="E25" s="208"/>
      <c r="F25" s="121">
        <v>655000</v>
      </c>
      <c r="G25" s="121">
        <v>468500</v>
      </c>
      <c r="H25" s="121">
        <v>0</v>
      </c>
      <c r="I25" s="168">
        <f t="shared" si="0"/>
        <v>186500</v>
      </c>
      <c r="J25" s="178">
        <f t="shared" si="1"/>
        <v>0</v>
      </c>
      <c r="K25" s="122">
        <f>IF(OR(F25&lt;&gt;0,G25&lt;&gt;0),SUM($F$7:F25)-SUM($G$7:G25)+SUM($H$7:H25),0)</f>
        <v>4198500</v>
      </c>
      <c r="N25" s="145"/>
    </row>
    <row r="26" spans="1:16" s="143" customFormat="1" ht="20.100000000000001" customHeight="1" x14ac:dyDescent="0.25">
      <c r="A26" s="14">
        <v>19</v>
      </c>
      <c r="B26" s="225"/>
      <c r="C26" s="201"/>
      <c r="D26" s="186" t="s">
        <v>130</v>
      </c>
      <c r="E26" s="186"/>
      <c r="F26" s="121">
        <v>750000</v>
      </c>
      <c r="G26" s="121">
        <v>740000</v>
      </c>
      <c r="H26" s="121">
        <v>0</v>
      </c>
      <c r="I26" s="168">
        <f t="shared" si="0"/>
        <v>10000</v>
      </c>
      <c r="J26" s="178">
        <f t="shared" si="1"/>
        <v>0</v>
      </c>
      <c r="K26" s="122">
        <f>IF(OR(F26&lt;&gt;0,G26&lt;&gt;0),SUM($F$7:F26)-SUM($G$7:G26)+SUM($H$7:H26),0)</f>
        <v>4208500</v>
      </c>
    </row>
    <row r="27" spans="1:16" s="143" customFormat="1" ht="20.100000000000001" customHeight="1" x14ac:dyDescent="0.25">
      <c r="A27" s="14">
        <v>20</v>
      </c>
      <c r="B27" s="225"/>
      <c r="C27" s="201"/>
      <c r="D27" s="186" t="s">
        <v>131</v>
      </c>
      <c r="E27" s="186"/>
      <c r="F27" s="121">
        <v>670000</v>
      </c>
      <c r="G27" s="121">
        <v>470000</v>
      </c>
      <c r="H27" s="121">
        <v>0</v>
      </c>
      <c r="I27" s="168">
        <f t="shared" si="0"/>
        <v>200000</v>
      </c>
      <c r="J27" s="178">
        <f t="shared" si="1"/>
        <v>0</v>
      </c>
      <c r="K27" s="122">
        <f>IF(OR(F27&lt;&gt;0,G27&lt;&gt;0),SUM($F$7:F27)-SUM($G$7:G27)+SUM($H$7:H27),0)</f>
        <v>4408500</v>
      </c>
      <c r="P27" s="26">
        <v>23000</v>
      </c>
    </row>
    <row r="28" spans="1:16" s="143" customFormat="1" ht="20.100000000000001" customHeight="1" x14ac:dyDescent="0.25">
      <c r="A28" s="14">
        <v>22</v>
      </c>
      <c r="B28" s="225"/>
      <c r="C28" s="201"/>
      <c r="D28" s="208" t="s">
        <v>191</v>
      </c>
      <c r="E28" s="208"/>
      <c r="F28" s="121">
        <v>1200000</v>
      </c>
      <c r="G28" s="121">
        <v>593500</v>
      </c>
      <c r="H28" s="121">
        <v>0</v>
      </c>
      <c r="I28" s="168">
        <f t="shared" si="0"/>
        <v>606500</v>
      </c>
      <c r="J28" s="178">
        <f t="shared" si="1"/>
        <v>0</v>
      </c>
      <c r="K28" s="122">
        <f>IF(OR(F28&lt;&gt;0,G28&lt;&gt;0),SUM($F$7:F28)-SUM($G$7:G28)+SUM($H$7:H28),0)</f>
        <v>5015000</v>
      </c>
      <c r="P28" s="35">
        <v>1331500</v>
      </c>
    </row>
    <row r="29" spans="1:16" s="143" customFormat="1" ht="20.100000000000001" customHeight="1" x14ac:dyDescent="0.25">
      <c r="A29" s="14">
        <v>23</v>
      </c>
      <c r="B29" s="225"/>
      <c r="C29" s="202"/>
      <c r="D29" s="186" t="s">
        <v>155</v>
      </c>
      <c r="E29" s="186"/>
      <c r="F29" s="121">
        <v>750000</v>
      </c>
      <c r="G29" s="121">
        <v>1450000</v>
      </c>
      <c r="H29" s="121">
        <v>0</v>
      </c>
      <c r="I29" s="168">
        <f t="shared" si="0"/>
        <v>0</v>
      </c>
      <c r="J29" s="178">
        <f t="shared" si="1"/>
        <v>700000</v>
      </c>
      <c r="K29" s="122">
        <f>IF(OR(F29&lt;&gt;0,G29&lt;&gt;0),SUM($F$7:F29)-SUM($G$7:G29)+SUM($H$7:H29),0)</f>
        <v>4315000</v>
      </c>
      <c r="N29" s="146" t="s">
        <v>281</v>
      </c>
      <c r="P29" s="35">
        <v>0</v>
      </c>
    </row>
    <row r="30" spans="1:16" s="143" customFormat="1" ht="20.100000000000001" customHeight="1" x14ac:dyDescent="0.25">
      <c r="A30" s="14">
        <v>24</v>
      </c>
      <c r="B30" s="206">
        <f>COUNTA(D31:E40)</f>
        <v>10</v>
      </c>
      <c r="C30" s="215" t="s">
        <v>179</v>
      </c>
      <c r="D30" s="212" t="s">
        <v>178</v>
      </c>
      <c r="E30" s="213"/>
      <c r="F30" s="120">
        <v>0</v>
      </c>
      <c r="G30" s="120">
        <v>958500</v>
      </c>
      <c r="H30" s="120">
        <v>0</v>
      </c>
      <c r="I30" s="168">
        <f t="shared" si="0"/>
        <v>0</v>
      </c>
      <c r="J30" s="178">
        <f t="shared" si="1"/>
        <v>958500</v>
      </c>
      <c r="K30" s="120">
        <f>IF(OR(F30&lt;&gt;0,G30&lt;&gt;0),SUM($F$7:F30)-SUM($G$7:G30)+SUM($H$7:H30),0)</f>
        <v>3356500</v>
      </c>
      <c r="N30" s="147">
        <v>-600000</v>
      </c>
      <c r="P30" s="35"/>
    </row>
    <row r="31" spans="1:16" s="143" customFormat="1" ht="20.100000000000001" customHeight="1" x14ac:dyDescent="0.25">
      <c r="A31" s="14">
        <v>25</v>
      </c>
      <c r="B31" s="206"/>
      <c r="C31" s="215"/>
      <c r="D31" s="193" t="s">
        <v>246</v>
      </c>
      <c r="E31" s="193"/>
      <c r="F31" s="120">
        <v>1115000</v>
      </c>
      <c r="G31" s="120">
        <v>1276000</v>
      </c>
      <c r="H31" s="120">
        <v>21000</v>
      </c>
      <c r="I31" s="168">
        <f t="shared" si="0"/>
        <v>0</v>
      </c>
      <c r="J31" s="178">
        <f t="shared" si="1"/>
        <v>182000</v>
      </c>
      <c r="K31" s="120">
        <f>IF(OR(F31&lt;&gt;0,G31&lt;&gt;0),SUM($F$7:F31)-SUM($G$7:G31)+SUM($H$7:H31),0)</f>
        <v>3216500</v>
      </c>
      <c r="N31" s="147">
        <v>-1200000</v>
      </c>
      <c r="P31" s="147">
        <v>-27000</v>
      </c>
    </row>
    <row r="32" spans="1:16" s="143" customFormat="1" ht="20.100000000000001" customHeight="1" x14ac:dyDescent="0.25">
      <c r="A32" s="14">
        <v>26</v>
      </c>
      <c r="B32" s="206"/>
      <c r="C32" s="215"/>
      <c r="D32" s="193" t="s">
        <v>188</v>
      </c>
      <c r="E32" s="193"/>
      <c r="F32" s="120">
        <v>1950000</v>
      </c>
      <c r="G32" s="120">
        <v>1099000</v>
      </c>
      <c r="H32" s="120">
        <v>0</v>
      </c>
      <c r="I32" s="168">
        <f t="shared" si="0"/>
        <v>851000</v>
      </c>
      <c r="J32" s="178">
        <f t="shared" si="1"/>
        <v>0</v>
      </c>
      <c r="K32" s="120">
        <f>IF(OR(F32&lt;&gt;0,G32&lt;&gt;0),SUM($F$7:F32)-SUM($G$7:G32)+SUM($H$7:H32),0)</f>
        <v>4067500</v>
      </c>
      <c r="N32" s="147">
        <v>-500000</v>
      </c>
      <c r="P32" s="147">
        <v>186500</v>
      </c>
    </row>
    <row r="33" spans="1:16" s="143" customFormat="1" ht="20.100000000000001" customHeight="1" x14ac:dyDescent="0.25">
      <c r="A33" s="14">
        <v>27</v>
      </c>
      <c r="B33" s="206"/>
      <c r="C33" s="215"/>
      <c r="D33" s="193" t="s">
        <v>183</v>
      </c>
      <c r="E33" s="193"/>
      <c r="F33" s="120">
        <v>5400000</v>
      </c>
      <c r="G33" s="120">
        <v>5212500</v>
      </c>
      <c r="H33" s="120">
        <v>0</v>
      </c>
      <c r="I33" s="168">
        <f t="shared" si="0"/>
        <v>187500</v>
      </c>
      <c r="J33" s="178">
        <f t="shared" si="1"/>
        <v>0</v>
      </c>
      <c r="K33" s="120">
        <f>IF(OR(F33&lt;&gt;0,G33&lt;&gt;0),SUM($F$7:F33)-SUM($G$7:G33)+SUM($H$7:H33),0)</f>
        <v>4255000</v>
      </c>
      <c r="N33" s="147"/>
      <c r="P33" s="147">
        <v>10000</v>
      </c>
    </row>
    <row r="34" spans="1:16" s="143" customFormat="1" ht="20.100000000000001" customHeight="1" x14ac:dyDescent="0.25">
      <c r="A34" s="14">
        <v>28</v>
      </c>
      <c r="B34" s="206"/>
      <c r="C34" s="215"/>
      <c r="D34" s="193" t="s">
        <v>245</v>
      </c>
      <c r="E34" s="193"/>
      <c r="F34" s="120">
        <v>2300000</v>
      </c>
      <c r="G34" s="120">
        <v>2195500</v>
      </c>
      <c r="H34" s="120">
        <v>0</v>
      </c>
      <c r="I34" s="168">
        <f t="shared" si="0"/>
        <v>104500</v>
      </c>
      <c r="J34" s="178">
        <f t="shared" si="1"/>
        <v>0</v>
      </c>
      <c r="K34" s="120">
        <f>IF(OR(F34&lt;&gt;0,G34&lt;&gt;0),SUM($F$7:F34)-SUM($G$7:G34)+SUM($H$7:H34),0)</f>
        <v>4359500</v>
      </c>
      <c r="N34" s="147"/>
    </row>
    <row r="35" spans="1:16" s="143" customFormat="1" ht="20.100000000000001" customHeight="1" x14ac:dyDescent="0.25">
      <c r="A35" s="14">
        <v>29</v>
      </c>
      <c r="B35" s="206"/>
      <c r="C35" s="215"/>
      <c r="D35" s="193" t="s">
        <v>189</v>
      </c>
      <c r="E35" s="193"/>
      <c r="F35" s="120">
        <v>2578000</v>
      </c>
      <c r="G35" s="120">
        <v>2208000</v>
      </c>
      <c r="H35" s="120">
        <v>0</v>
      </c>
      <c r="I35" s="168">
        <f t="shared" si="0"/>
        <v>370000</v>
      </c>
      <c r="J35" s="178">
        <f t="shared" si="1"/>
        <v>0</v>
      </c>
      <c r="K35" s="120">
        <f>IF(OR(F35&lt;&gt;0,G35&lt;&gt;0),SUM($F$7:F35)-SUM($G$7:G35)+SUM($H$7:H35),0)</f>
        <v>4729500</v>
      </c>
      <c r="N35" s="147"/>
    </row>
    <row r="36" spans="1:16" s="143" customFormat="1" ht="20.100000000000001" customHeight="1" x14ac:dyDescent="0.25">
      <c r="A36" s="14">
        <v>30</v>
      </c>
      <c r="B36" s="206"/>
      <c r="C36" s="215"/>
      <c r="D36" s="193" t="s">
        <v>190</v>
      </c>
      <c r="E36" s="193"/>
      <c r="F36" s="120">
        <v>1122000</v>
      </c>
      <c r="G36" s="120">
        <v>1162000</v>
      </c>
      <c r="H36" s="120">
        <v>0</v>
      </c>
      <c r="I36" s="168">
        <f t="shared" si="0"/>
        <v>0</v>
      </c>
      <c r="J36" s="178">
        <f t="shared" si="1"/>
        <v>40000</v>
      </c>
      <c r="K36" s="120">
        <f>IF(OR(F36&lt;&gt;0,G36&lt;&gt;0),SUM($F$7:F36)-SUM($G$7:G36)+SUM($H$7:H36),0)</f>
        <v>4689500</v>
      </c>
      <c r="N36" s="147"/>
    </row>
    <row r="37" spans="1:16" s="143" customFormat="1" ht="20.100000000000001" customHeight="1" x14ac:dyDescent="0.25">
      <c r="A37" s="14">
        <v>31</v>
      </c>
      <c r="B37" s="206"/>
      <c r="C37" s="215"/>
      <c r="D37" s="193" t="s">
        <v>256</v>
      </c>
      <c r="E37" s="193"/>
      <c r="F37" s="120">
        <v>0</v>
      </c>
      <c r="G37" s="120">
        <v>549500</v>
      </c>
      <c r="H37" s="120">
        <v>0</v>
      </c>
      <c r="I37" s="168">
        <f t="shared" si="0"/>
        <v>0</v>
      </c>
      <c r="J37" s="178">
        <f t="shared" si="1"/>
        <v>549500</v>
      </c>
      <c r="K37" s="120">
        <f>IF(OR(F37&lt;&gt;0,G37&lt;&gt;0),SUM($F$7:F37)-SUM($G$7:G37)+SUM($H$7:H37),0)</f>
        <v>4140000</v>
      </c>
      <c r="N37" s="147" t="s">
        <v>282</v>
      </c>
    </row>
    <row r="38" spans="1:16" s="143" customFormat="1" ht="20.100000000000001" customHeight="1" x14ac:dyDescent="0.25">
      <c r="A38" s="14">
        <v>32</v>
      </c>
      <c r="B38" s="206"/>
      <c r="C38" s="215"/>
      <c r="D38" s="193" t="s">
        <v>184</v>
      </c>
      <c r="E38" s="193"/>
      <c r="F38" s="120">
        <v>780000</v>
      </c>
      <c r="G38" s="120">
        <v>591700</v>
      </c>
      <c r="H38" s="120">
        <v>0</v>
      </c>
      <c r="I38" s="168">
        <f t="shared" si="0"/>
        <v>188300</v>
      </c>
      <c r="J38" s="178">
        <f t="shared" si="1"/>
        <v>0</v>
      </c>
      <c r="K38" s="120">
        <f>IF(OR(F38&lt;&gt;0,G38&lt;&gt;0),SUM($F$7:F38)-SUM($G$7:G38)+SUM($H$7:H38),0)</f>
        <v>4328300</v>
      </c>
      <c r="N38" s="147">
        <f>SUM(J7:J36,J38:J43,N30:N32)</f>
        <v>-160000</v>
      </c>
    </row>
    <row r="39" spans="1:16" s="143" customFormat="1" ht="20.100000000000001" customHeight="1" x14ac:dyDescent="0.25">
      <c r="A39" s="14">
        <v>33</v>
      </c>
      <c r="B39" s="206"/>
      <c r="C39" s="215"/>
      <c r="D39" s="207" t="s">
        <v>258</v>
      </c>
      <c r="E39" s="207"/>
      <c r="F39" s="120">
        <v>6740000</v>
      </c>
      <c r="G39" s="120">
        <v>6190000</v>
      </c>
      <c r="H39" s="120">
        <v>0</v>
      </c>
      <c r="I39" s="168">
        <f t="shared" si="0"/>
        <v>550000</v>
      </c>
      <c r="J39" s="178">
        <f t="shared" si="1"/>
        <v>0</v>
      </c>
      <c r="K39" s="120">
        <f>IF(OR(F39&lt;&gt;0,G39&lt;&gt;0),SUM($F$7:F39)-SUM($G$7:G39)+SUM($H$7:H39),0)</f>
        <v>4878300</v>
      </c>
      <c r="N39" s="148"/>
    </row>
    <row r="40" spans="1:16" s="143" customFormat="1" ht="20.100000000000001" customHeight="1" x14ac:dyDescent="0.25">
      <c r="A40" s="14">
        <v>34</v>
      </c>
      <c r="B40" s="206"/>
      <c r="C40" s="215"/>
      <c r="D40" s="193" t="s">
        <v>257</v>
      </c>
      <c r="E40" s="193"/>
      <c r="F40" s="120">
        <v>250000</v>
      </c>
      <c r="G40" s="120">
        <v>175000</v>
      </c>
      <c r="H40" s="120">
        <v>0</v>
      </c>
      <c r="I40" s="168">
        <f t="shared" si="0"/>
        <v>75000</v>
      </c>
      <c r="J40" s="178">
        <f t="shared" si="1"/>
        <v>0</v>
      </c>
      <c r="K40" s="120">
        <f>IF(OR(F40&lt;&gt;0,G40&lt;&gt;0),SUM($F$7:F40)-SUM($G$7:G40)+SUM($H$7:H40),0)</f>
        <v>4953300</v>
      </c>
      <c r="N40" s="143" t="s">
        <v>283</v>
      </c>
    </row>
    <row r="41" spans="1:16" s="143" customFormat="1" ht="20.100000000000001" customHeight="1" x14ac:dyDescent="0.25">
      <c r="A41" s="14">
        <v>35</v>
      </c>
      <c r="B41" s="187">
        <f>COUNTA(D41:E44)</f>
        <v>4</v>
      </c>
      <c r="C41" s="190" t="s">
        <v>278</v>
      </c>
      <c r="D41" s="208" t="s">
        <v>192</v>
      </c>
      <c r="E41" s="208"/>
      <c r="F41" s="122">
        <v>740000</v>
      </c>
      <c r="G41" s="122">
        <v>775000</v>
      </c>
      <c r="H41" s="122">
        <v>0</v>
      </c>
      <c r="I41" s="168">
        <f t="shared" si="0"/>
        <v>0</v>
      </c>
      <c r="J41" s="178">
        <f t="shared" si="1"/>
        <v>35000</v>
      </c>
      <c r="K41" s="122">
        <f>IF(OR(F41&lt;&gt;0,G41&lt;&gt;0),SUM($F$7:F41)-SUM($G$7:G41)+SUM($H$7:H41),0)</f>
        <v>4918300</v>
      </c>
    </row>
    <row r="42" spans="1:16" s="143" customFormat="1" ht="20.100000000000001" customHeight="1" x14ac:dyDescent="0.25">
      <c r="A42" s="14">
        <v>36</v>
      </c>
      <c r="B42" s="188"/>
      <c r="C42" s="191"/>
      <c r="D42" s="208" t="s">
        <v>302</v>
      </c>
      <c r="E42" s="208"/>
      <c r="F42" s="122">
        <v>720000</v>
      </c>
      <c r="G42" s="122">
        <v>704000</v>
      </c>
      <c r="H42" s="122">
        <v>0</v>
      </c>
      <c r="I42" s="168">
        <f t="shared" si="0"/>
        <v>16000</v>
      </c>
      <c r="J42" s="178">
        <f t="shared" si="1"/>
        <v>0</v>
      </c>
      <c r="K42" s="122">
        <f>IF(OR(F42&lt;&gt;0,G42&lt;&gt;0),SUM($F$7:F42)-SUM($G$7:G42)+SUM($H$7:H42),0)</f>
        <v>4934300</v>
      </c>
      <c r="N42" s="145"/>
    </row>
    <row r="43" spans="1:16" s="143" customFormat="1" ht="20.100000000000001" customHeight="1" x14ac:dyDescent="0.25">
      <c r="A43" s="14">
        <v>37</v>
      </c>
      <c r="B43" s="188"/>
      <c r="C43" s="191"/>
      <c r="D43" s="208" t="s">
        <v>247</v>
      </c>
      <c r="E43" s="208"/>
      <c r="F43" s="122">
        <v>1200000</v>
      </c>
      <c r="G43" s="122">
        <v>1075000</v>
      </c>
      <c r="H43" s="122">
        <v>0</v>
      </c>
      <c r="I43" s="168">
        <f t="shared" si="0"/>
        <v>125000</v>
      </c>
      <c r="J43" s="178">
        <f t="shared" si="1"/>
        <v>0</v>
      </c>
      <c r="K43" s="122">
        <f>IF(OR(F43&lt;&gt;0,G43&lt;&gt;0),SUM($F$7:F43)-SUM($G$7:G43)+SUM($H$7:H43),0)</f>
        <v>5059300</v>
      </c>
    </row>
    <row r="44" spans="1:16" s="143" customFormat="1" ht="20.100000000000001" customHeight="1" x14ac:dyDescent="0.25">
      <c r="A44" s="14">
        <v>38</v>
      </c>
      <c r="B44" s="189"/>
      <c r="C44" s="192"/>
      <c r="D44" s="209" t="s">
        <v>249</v>
      </c>
      <c r="E44" s="186"/>
      <c r="F44" s="121">
        <v>1100000</v>
      </c>
      <c r="G44" s="121">
        <v>1033500</v>
      </c>
      <c r="H44" s="122">
        <v>0</v>
      </c>
      <c r="I44" s="168">
        <f t="shared" si="0"/>
        <v>66500</v>
      </c>
      <c r="J44" s="178">
        <f t="shared" si="1"/>
        <v>0</v>
      </c>
      <c r="K44" s="122">
        <f>IF(OR(F44&lt;&gt;0,G44&lt;&gt;0),SUM($F$7:F44)-SUM($G$7:G44)+SUM($H$7:H44),0)</f>
        <v>5125800</v>
      </c>
    </row>
    <row r="45" spans="1:16" s="143" customFormat="1" ht="20.100000000000001" customHeight="1" x14ac:dyDescent="0.25">
      <c r="A45" s="14">
        <v>39</v>
      </c>
      <c r="B45" s="194">
        <f>COUNTA(D45:E48)</f>
        <v>4</v>
      </c>
      <c r="C45" s="197" t="s">
        <v>303</v>
      </c>
      <c r="D45" s="207" t="s">
        <v>280</v>
      </c>
      <c r="E45" s="207"/>
      <c r="F45" s="120">
        <v>0</v>
      </c>
      <c r="G45" s="120">
        <v>388000</v>
      </c>
      <c r="H45" s="120">
        <v>0</v>
      </c>
      <c r="I45" s="168">
        <f t="shared" si="0"/>
        <v>0</v>
      </c>
      <c r="J45" s="178">
        <f t="shared" si="1"/>
        <v>388000</v>
      </c>
      <c r="K45" s="120">
        <f>IF(OR(F45&lt;&gt;0,G45&lt;&gt;0),SUM($F$7:F45)-SUM($G$7:G45)+SUM($H$7:H45),0)</f>
        <v>4737800</v>
      </c>
    </row>
    <row r="46" spans="1:16" s="143" customFormat="1" ht="20.100000000000001" customHeight="1" x14ac:dyDescent="0.25">
      <c r="A46" s="14">
        <v>40</v>
      </c>
      <c r="B46" s="195"/>
      <c r="C46" s="198"/>
      <c r="D46" s="193" t="s">
        <v>284</v>
      </c>
      <c r="E46" s="193"/>
      <c r="F46" s="120">
        <v>1775000</v>
      </c>
      <c r="G46" s="120">
        <v>1575700</v>
      </c>
      <c r="H46" s="120">
        <v>0</v>
      </c>
      <c r="I46" s="168">
        <f t="shared" si="0"/>
        <v>199300</v>
      </c>
      <c r="J46" s="178">
        <f t="shared" si="1"/>
        <v>0</v>
      </c>
      <c r="K46" s="120">
        <f>IF(OR(F46&lt;&gt;0,G46&lt;&gt;0),SUM($F$7:F46)-SUM($G$7:G46)+SUM($H$7:H46),0)</f>
        <v>4937100</v>
      </c>
    </row>
    <row r="47" spans="1:16" s="143" customFormat="1" ht="20.100000000000001" customHeight="1" x14ac:dyDescent="0.25">
      <c r="A47" s="14">
        <v>41</v>
      </c>
      <c r="B47" s="195"/>
      <c r="C47" s="198"/>
      <c r="D47" s="193" t="s">
        <v>288</v>
      </c>
      <c r="E47" s="193"/>
      <c r="F47" s="120">
        <v>0</v>
      </c>
      <c r="G47" s="120">
        <v>200000</v>
      </c>
      <c r="H47" s="120">
        <v>0</v>
      </c>
      <c r="I47" s="168">
        <f t="shared" si="0"/>
        <v>0</v>
      </c>
      <c r="J47" s="178">
        <f t="shared" si="1"/>
        <v>200000</v>
      </c>
      <c r="K47" s="120">
        <f>IF(OR(F47&lt;&gt;0,G47&lt;&gt;0),SUM($F$7:F47)-SUM($G$7:G47)+SUM($H$7:H47),0)</f>
        <v>4737100</v>
      </c>
    </row>
    <row r="48" spans="1:16" s="143" customFormat="1" ht="20.100000000000001" customHeight="1" x14ac:dyDescent="0.25">
      <c r="A48" s="14">
        <v>42</v>
      </c>
      <c r="B48" s="196"/>
      <c r="C48" s="199"/>
      <c r="D48" s="193" t="s">
        <v>287</v>
      </c>
      <c r="E48" s="193"/>
      <c r="F48" s="120">
        <v>550000</v>
      </c>
      <c r="G48" s="120"/>
      <c r="H48" s="120">
        <v>0</v>
      </c>
      <c r="I48" s="168">
        <f t="shared" si="0"/>
        <v>550000</v>
      </c>
      <c r="J48" s="178">
        <f t="shared" si="1"/>
        <v>0</v>
      </c>
      <c r="K48" s="120">
        <f>IF(OR(F48&lt;&gt;0,G48&lt;&gt;0),SUM($F$7:F48)-SUM($G$7:G48)+SUM($H$7:H48),0)</f>
        <v>5287100</v>
      </c>
    </row>
    <row r="49" spans="1:11" s="143" customFormat="1" ht="20.100000000000001" customHeight="1" x14ac:dyDescent="0.25">
      <c r="A49" s="14">
        <v>43</v>
      </c>
      <c r="B49" s="203">
        <f>COUNTA(D50:E56)</f>
        <v>7</v>
      </c>
      <c r="C49" s="200" t="s">
        <v>300</v>
      </c>
      <c r="D49" s="210" t="s">
        <v>178</v>
      </c>
      <c r="E49" s="211"/>
      <c r="F49" s="121">
        <v>0</v>
      </c>
      <c r="G49" s="121">
        <v>2150000</v>
      </c>
      <c r="H49" s="121">
        <v>0</v>
      </c>
      <c r="I49" s="168">
        <f t="shared" si="0"/>
        <v>0</v>
      </c>
      <c r="J49" s="178">
        <f t="shared" si="1"/>
        <v>2150000</v>
      </c>
      <c r="K49" s="122">
        <f>IF(OR(F49&lt;&gt;0,G49&lt;&gt;0),SUM($F$7:F49)-SUM($G$7:G49)+SUM($H$7:H49),0)</f>
        <v>3137100</v>
      </c>
    </row>
    <row r="50" spans="1:11" s="143" customFormat="1" ht="20.100000000000001" customHeight="1" x14ac:dyDescent="0.25">
      <c r="A50" s="14">
        <v>44</v>
      </c>
      <c r="B50" s="204"/>
      <c r="C50" s="201"/>
      <c r="D50" s="208" t="s">
        <v>310</v>
      </c>
      <c r="E50" s="208"/>
      <c r="F50" s="121">
        <v>1170000</v>
      </c>
      <c r="G50" s="121">
        <v>746000</v>
      </c>
      <c r="H50" s="121">
        <v>0</v>
      </c>
      <c r="I50" s="168">
        <f t="shared" si="0"/>
        <v>424000</v>
      </c>
      <c r="J50" s="178">
        <f t="shared" si="1"/>
        <v>0</v>
      </c>
      <c r="K50" s="122">
        <f>IF(OR(F50&lt;&gt;0,G50&lt;&gt;0),SUM($F$7:F50)-SUM($G$7:G50)+SUM($H$7:H50),0)</f>
        <v>3561100</v>
      </c>
    </row>
    <row r="51" spans="1:11" s="143" customFormat="1" ht="20.100000000000001" customHeight="1" x14ac:dyDescent="0.25">
      <c r="A51" s="14">
        <v>45</v>
      </c>
      <c r="B51" s="204"/>
      <c r="C51" s="201"/>
      <c r="D51" s="186" t="s">
        <v>301</v>
      </c>
      <c r="E51" s="186"/>
      <c r="F51" s="121">
        <v>730000</v>
      </c>
      <c r="G51" s="121">
        <v>530000</v>
      </c>
      <c r="H51" s="121">
        <v>0</v>
      </c>
      <c r="I51" s="168">
        <f t="shared" si="0"/>
        <v>200000</v>
      </c>
      <c r="J51" s="178">
        <f t="shared" si="1"/>
        <v>0</v>
      </c>
      <c r="K51" s="122">
        <f>IF(OR(F51&lt;&gt;0,G51&lt;&gt;0),SUM($F$7:F51)-SUM($G$7:G51)+SUM($H$7:H51),0)</f>
        <v>3761100</v>
      </c>
    </row>
    <row r="52" spans="1:11" s="143" customFormat="1" ht="20.100000000000001" customHeight="1" x14ac:dyDescent="0.25">
      <c r="A52" s="14">
        <v>46</v>
      </c>
      <c r="B52" s="204"/>
      <c r="C52" s="201"/>
      <c r="D52" s="186" t="s">
        <v>305</v>
      </c>
      <c r="E52" s="186"/>
      <c r="F52" s="121">
        <v>2322000</v>
      </c>
      <c r="G52" s="121">
        <v>2338000</v>
      </c>
      <c r="H52" s="121">
        <v>0</v>
      </c>
      <c r="I52" s="168">
        <f t="shared" si="0"/>
        <v>0</v>
      </c>
      <c r="J52" s="178">
        <f t="shared" si="1"/>
        <v>16000</v>
      </c>
      <c r="K52" s="122">
        <f>IF(OR(F52&lt;&gt;0,G52&lt;&gt;0),SUM($F$7:F52)-SUM($G$7:G52)+SUM($H$7:H52),0)</f>
        <v>3745100</v>
      </c>
    </row>
    <row r="53" spans="1:11" s="143" customFormat="1" ht="20.100000000000001" customHeight="1" x14ac:dyDescent="0.25">
      <c r="A53" s="14">
        <v>47</v>
      </c>
      <c r="B53" s="204"/>
      <c r="C53" s="201"/>
      <c r="D53" s="186" t="s">
        <v>306</v>
      </c>
      <c r="E53" s="186"/>
      <c r="F53" s="121">
        <v>1378000</v>
      </c>
      <c r="G53" s="121">
        <v>1441600</v>
      </c>
      <c r="H53" s="121">
        <v>0</v>
      </c>
      <c r="I53" s="168">
        <f t="shared" si="0"/>
        <v>0</v>
      </c>
      <c r="J53" s="178">
        <f t="shared" si="1"/>
        <v>63600</v>
      </c>
      <c r="K53" s="122">
        <f>IF(OR(F53&lt;&gt;0,G53&lt;&gt;0),SUM($F$7:F53)-SUM($G$7:G53)+SUM($H$7:H53),0)</f>
        <v>3681500</v>
      </c>
    </row>
    <row r="54" spans="1:11" s="143" customFormat="1" ht="20.100000000000001" customHeight="1" x14ac:dyDescent="0.25">
      <c r="A54" s="14">
        <v>48</v>
      </c>
      <c r="B54" s="204"/>
      <c r="C54" s="201"/>
      <c r="D54" s="186" t="s">
        <v>307</v>
      </c>
      <c r="E54" s="186"/>
      <c r="F54" s="121">
        <v>1050000</v>
      </c>
      <c r="G54" s="121">
        <v>916500</v>
      </c>
      <c r="H54" s="121">
        <v>0</v>
      </c>
      <c r="I54" s="168">
        <f t="shared" si="0"/>
        <v>133500</v>
      </c>
      <c r="J54" s="178">
        <f t="shared" si="1"/>
        <v>0</v>
      </c>
      <c r="K54" s="122">
        <f>IF(OR(F54&lt;&gt;0,G54&lt;&gt;0),SUM($F$7:F54)-SUM($G$7:G54)+SUM($H$7:H54),0)</f>
        <v>3815000</v>
      </c>
    </row>
    <row r="55" spans="1:11" s="143" customFormat="1" ht="20.100000000000001" customHeight="1" x14ac:dyDescent="0.25">
      <c r="A55" s="14"/>
      <c r="B55" s="204"/>
      <c r="C55" s="201"/>
      <c r="D55" s="332" t="s">
        <v>341</v>
      </c>
      <c r="E55" s="333"/>
      <c r="F55" s="121">
        <v>0</v>
      </c>
      <c r="G55" s="121">
        <v>436000</v>
      </c>
      <c r="H55" s="121"/>
      <c r="I55" s="168">
        <f t="shared" si="0"/>
        <v>0</v>
      </c>
      <c r="J55" s="178">
        <f t="shared" si="1"/>
        <v>436000</v>
      </c>
      <c r="K55" s="122">
        <f>IF(OR(F55&lt;&gt;0,G55&lt;&gt;0),SUM($F$7:F55)-SUM($G$7:G55)+SUM($H$7:H55),0)</f>
        <v>3379000</v>
      </c>
    </row>
    <row r="56" spans="1:11" s="143" customFormat="1" ht="20.100000000000001" customHeight="1" x14ac:dyDescent="0.25">
      <c r="A56" s="14">
        <v>49</v>
      </c>
      <c r="B56" s="205"/>
      <c r="C56" s="202"/>
      <c r="D56" s="186" t="s">
        <v>308</v>
      </c>
      <c r="E56" s="186"/>
      <c r="F56" s="121">
        <v>3600000</v>
      </c>
      <c r="G56" s="121"/>
      <c r="H56" s="121">
        <v>0</v>
      </c>
      <c r="I56" s="168">
        <f t="shared" si="0"/>
        <v>3600000</v>
      </c>
      <c r="J56" s="178">
        <f t="shared" si="1"/>
        <v>0</v>
      </c>
      <c r="K56" s="122">
        <f>IF(OR(F56&lt;&gt;0,G56&lt;&gt;0),SUM($F$7:F56)-SUM($G$7:G56)+SUM($H$7:H56),0)</f>
        <v>6979000</v>
      </c>
    </row>
    <row r="57" spans="1:11" s="143" customFormat="1" ht="20.100000000000001" customHeight="1" x14ac:dyDescent="0.25">
      <c r="A57" s="14">
        <v>50</v>
      </c>
      <c r="B57" s="194">
        <f>COUNTA(D57:E58)</f>
        <v>2</v>
      </c>
      <c r="C57" s="197" t="s">
        <v>342</v>
      </c>
      <c r="D57" s="193" t="s">
        <v>339</v>
      </c>
      <c r="E57" s="193"/>
      <c r="F57" s="120">
        <v>570000</v>
      </c>
      <c r="G57" s="120">
        <v>575000</v>
      </c>
      <c r="H57" s="120">
        <v>0</v>
      </c>
      <c r="I57" s="168">
        <f t="shared" si="0"/>
        <v>0</v>
      </c>
      <c r="J57" s="178">
        <f t="shared" si="1"/>
        <v>5000</v>
      </c>
      <c r="K57" s="120">
        <f>IF(OR(F57&lt;&gt;0,G57&lt;&gt;0),SUM($F$7:F57)-SUM($G$7:G57)+SUM($H$7:H57),0)</f>
        <v>6974000</v>
      </c>
    </row>
    <row r="58" spans="1:11" s="143" customFormat="1" ht="20.100000000000001" customHeight="1" x14ac:dyDescent="0.25">
      <c r="A58" s="14">
        <v>51</v>
      </c>
      <c r="B58" s="196"/>
      <c r="C58" s="228"/>
      <c r="D58" s="193" t="s">
        <v>178</v>
      </c>
      <c r="E58" s="193"/>
      <c r="F58" s="120">
        <v>0</v>
      </c>
      <c r="G58" s="120"/>
      <c r="H58" s="120">
        <v>0</v>
      </c>
      <c r="I58" s="168">
        <f t="shared" si="0"/>
        <v>0</v>
      </c>
      <c r="J58" s="178">
        <f t="shared" si="1"/>
        <v>0</v>
      </c>
      <c r="K58" s="120">
        <f>IF(OR(F58&lt;&gt;0,G58&lt;&gt;0),SUM($F$7:F58)-SUM($G$7:G58)+SUM($H$7:H58),0)</f>
        <v>0</v>
      </c>
    </row>
    <row r="59" spans="1:11" s="143" customFormat="1" ht="20.100000000000001" customHeight="1" x14ac:dyDescent="0.25">
      <c r="A59" s="14">
        <v>52</v>
      </c>
      <c r="B59" s="123"/>
      <c r="C59" s="135"/>
      <c r="D59" s="186"/>
      <c r="E59" s="186"/>
      <c r="F59" s="121"/>
      <c r="G59" s="121"/>
      <c r="H59" s="121"/>
      <c r="I59" s="168">
        <f t="shared" si="0"/>
        <v>0</v>
      </c>
      <c r="J59" s="178">
        <f t="shared" si="1"/>
        <v>0</v>
      </c>
      <c r="K59" s="122">
        <f>IF(OR(F59&lt;&gt;0,G59&lt;&gt;0),SUM($F$7:F59)-SUM($G$7:G59)+SUM($H$7:H59),0)</f>
        <v>0</v>
      </c>
    </row>
    <row r="60" spans="1:11" s="143" customFormat="1" ht="20.100000000000001" customHeight="1" x14ac:dyDescent="0.25">
      <c r="A60" s="14">
        <v>53</v>
      </c>
      <c r="B60" s="123"/>
      <c r="C60" s="135"/>
      <c r="D60" s="186"/>
      <c r="E60" s="186"/>
      <c r="F60" s="121"/>
      <c r="G60" s="121"/>
      <c r="H60" s="121"/>
      <c r="I60" s="168">
        <f t="shared" si="0"/>
        <v>0</v>
      </c>
      <c r="J60" s="178">
        <f t="shared" si="1"/>
        <v>0</v>
      </c>
      <c r="K60" s="122">
        <f>IF(OR(F60&lt;&gt;0,G60&lt;&gt;0),SUM($F$7:F60)-SUM($G$7:G60)+SUM($H$7:H60),0)</f>
        <v>0</v>
      </c>
    </row>
    <row r="61" spans="1:11" s="143" customFormat="1" ht="20.100000000000001" customHeight="1" x14ac:dyDescent="0.25">
      <c r="A61" s="14">
        <v>54</v>
      </c>
      <c r="B61" s="123"/>
      <c r="C61" s="135"/>
      <c r="D61" s="186"/>
      <c r="E61" s="186"/>
      <c r="F61" s="121"/>
      <c r="G61" s="121"/>
      <c r="H61" s="121"/>
      <c r="I61" s="168">
        <f t="shared" si="0"/>
        <v>0</v>
      </c>
      <c r="J61" s="178">
        <f t="shared" si="1"/>
        <v>0</v>
      </c>
      <c r="K61" s="122">
        <f>IF(OR(F61&lt;&gt;0,G61&lt;&gt;0),SUM($F$7:F61)-SUM($G$7:G61)+SUM($H$7:H61),0)</f>
        <v>0</v>
      </c>
    </row>
    <row r="62" spans="1:11" s="143" customFormat="1" ht="20.100000000000001" customHeight="1" x14ac:dyDescent="0.25">
      <c r="A62" s="14">
        <v>55</v>
      </c>
      <c r="B62" s="123"/>
      <c r="C62" s="135"/>
      <c r="D62" s="186"/>
      <c r="E62" s="186"/>
      <c r="F62" s="121"/>
      <c r="G62" s="121"/>
      <c r="H62" s="121"/>
      <c r="I62" s="168">
        <f t="shared" si="0"/>
        <v>0</v>
      </c>
      <c r="J62" s="178">
        <f t="shared" si="1"/>
        <v>0</v>
      </c>
      <c r="K62" s="122">
        <f>IF(OR(F62&lt;&gt;0,G62&lt;&gt;0),SUM($F$7:F62)-SUM($G$7:G62)+SUM($H$7:H62),0)</f>
        <v>0</v>
      </c>
    </row>
    <row r="63" spans="1:11" s="143" customFormat="1" ht="20.100000000000001" customHeight="1" x14ac:dyDescent="0.25">
      <c r="A63" s="14">
        <v>56</v>
      </c>
      <c r="B63" s="123"/>
      <c r="C63" s="135"/>
      <c r="D63" s="186"/>
      <c r="E63" s="186"/>
      <c r="F63" s="121"/>
      <c r="G63" s="121"/>
      <c r="H63" s="121"/>
      <c r="I63" s="168">
        <f t="shared" si="0"/>
        <v>0</v>
      </c>
      <c r="J63" s="178">
        <f t="shared" si="1"/>
        <v>0</v>
      </c>
      <c r="K63" s="122">
        <f>IF(OR(F63&lt;&gt;0,G63&lt;&gt;0),SUM($F$7:F63)-SUM($G$7:G63)+SUM($H$7:H63),0)</f>
        <v>0</v>
      </c>
    </row>
    <row r="64" spans="1:11" s="143" customFormat="1" ht="20.100000000000001" customHeight="1" x14ac:dyDescent="0.25">
      <c r="A64" s="14">
        <v>57</v>
      </c>
      <c r="B64" s="123"/>
      <c r="C64" s="135"/>
      <c r="D64" s="186"/>
      <c r="E64" s="186"/>
      <c r="F64" s="121"/>
      <c r="G64" s="121"/>
      <c r="H64" s="121"/>
      <c r="I64" s="168">
        <f t="shared" si="0"/>
        <v>0</v>
      </c>
      <c r="J64" s="178">
        <f t="shared" si="1"/>
        <v>0</v>
      </c>
      <c r="K64" s="122">
        <f>IF(OR(F64&lt;&gt;0,G64&lt;&gt;0),SUM($F$7:F64)-SUM($G$7:G64)+SUM($H$7:H64),0)</f>
        <v>0</v>
      </c>
    </row>
    <row r="65" spans="1:11" s="143" customFormat="1" ht="20.100000000000001" customHeight="1" x14ac:dyDescent="0.25">
      <c r="A65" s="14">
        <v>58</v>
      </c>
      <c r="B65" s="123"/>
      <c r="C65" s="135"/>
      <c r="D65" s="186"/>
      <c r="E65" s="186"/>
      <c r="F65" s="121"/>
      <c r="G65" s="121"/>
      <c r="H65" s="121"/>
      <c r="I65" s="168">
        <f t="shared" si="0"/>
        <v>0</v>
      </c>
      <c r="J65" s="178">
        <f t="shared" si="1"/>
        <v>0</v>
      </c>
      <c r="K65" s="122">
        <f>IF(OR(F65&lt;&gt;0,G65&lt;&gt;0),SUM($F$7:F65)-SUM($G$7:G65)+SUM($H$7:H65),0)</f>
        <v>0</v>
      </c>
    </row>
    <row r="66" spans="1:11" s="143" customFormat="1" ht="20.100000000000001" customHeight="1" x14ac:dyDescent="0.25">
      <c r="A66" s="14">
        <v>59</v>
      </c>
      <c r="B66" s="123"/>
      <c r="C66" s="135"/>
      <c r="D66" s="186"/>
      <c r="E66" s="186"/>
      <c r="F66" s="121"/>
      <c r="G66" s="121"/>
      <c r="H66" s="121"/>
      <c r="I66" s="168">
        <f t="shared" si="0"/>
        <v>0</v>
      </c>
      <c r="J66" s="178">
        <f t="shared" si="1"/>
        <v>0</v>
      </c>
      <c r="K66" s="122">
        <f>IF(OR(F66&lt;&gt;0,G66&lt;&gt;0),SUM($F$7:F66)-SUM($G$7:G66)+SUM($H$7:H66),0)</f>
        <v>0</v>
      </c>
    </row>
    <row r="67" spans="1:11" s="143" customFormat="1" ht="20.100000000000001" customHeight="1" x14ac:dyDescent="0.25">
      <c r="A67" s="14">
        <v>60</v>
      </c>
      <c r="B67" s="123"/>
      <c r="C67" s="135"/>
      <c r="D67" s="186"/>
      <c r="E67" s="186"/>
      <c r="F67" s="121"/>
      <c r="G67" s="121"/>
      <c r="H67" s="121"/>
      <c r="I67" s="168">
        <f t="shared" si="0"/>
        <v>0</v>
      </c>
      <c r="J67" s="178">
        <f t="shared" si="1"/>
        <v>0</v>
      </c>
      <c r="K67" s="122">
        <f>IF(OR(F67&lt;&gt;0,G67&lt;&gt;0),SUM($F$7:F67)-SUM($G$7:G67)+SUM($H$7:H67),0)</f>
        <v>0</v>
      </c>
    </row>
    <row r="68" spans="1:11" s="143" customFormat="1" ht="20.100000000000001" customHeight="1" x14ac:dyDescent="0.25">
      <c r="A68" s="14">
        <v>61</v>
      </c>
      <c r="B68" s="123"/>
      <c r="C68" s="135"/>
      <c r="D68" s="186"/>
      <c r="E68" s="186"/>
      <c r="F68" s="121"/>
      <c r="G68" s="121"/>
      <c r="H68" s="121"/>
      <c r="I68" s="168">
        <f t="shared" si="0"/>
        <v>0</v>
      </c>
      <c r="J68" s="178">
        <f t="shared" si="1"/>
        <v>0</v>
      </c>
      <c r="K68" s="122">
        <f>IF(OR(F68&lt;&gt;0,G68&lt;&gt;0),SUM($F$7:F68)-SUM($G$7:G68)+SUM($H$7:H68),0)</f>
        <v>0</v>
      </c>
    </row>
    <row r="69" spans="1:11" s="143" customFormat="1" ht="20.100000000000001" customHeight="1" x14ac:dyDescent="0.25">
      <c r="A69" s="14">
        <v>62</v>
      </c>
      <c r="B69" s="123"/>
      <c r="C69" s="135"/>
      <c r="D69" s="186"/>
      <c r="E69" s="186"/>
      <c r="F69" s="121"/>
      <c r="G69" s="121"/>
      <c r="H69" s="121"/>
      <c r="I69" s="168">
        <f t="shared" si="0"/>
        <v>0</v>
      </c>
      <c r="J69" s="178">
        <f t="shared" si="1"/>
        <v>0</v>
      </c>
      <c r="K69" s="122">
        <f>IF(OR(F69&lt;&gt;0,G69&lt;&gt;0),SUM($F$7:F69)-SUM($G$7:G69)+SUM($H$7:H69),0)</f>
        <v>0</v>
      </c>
    </row>
    <row r="70" spans="1:11" s="143" customFormat="1" ht="20.100000000000001" customHeight="1" x14ac:dyDescent="0.25">
      <c r="A70" s="14">
        <v>63</v>
      </c>
      <c r="B70" s="123"/>
      <c r="C70" s="135"/>
      <c r="D70" s="186"/>
      <c r="E70" s="186"/>
      <c r="F70" s="121"/>
      <c r="G70" s="121"/>
      <c r="H70" s="121"/>
      <c r="I70" s="168">
        <f t="shared" si="0"/>
        <v>0</v>
      </c>
      <c r="J70" s="178">
        <f t="shared" si="1"/>
        <v>0</v>
      </c>
      <c r="K70" s="122">
        <f>IF(OR(F70&lt;&gt;0,G70&lt;&gt;0),SUM($F$7:F70)-SUM($G$7:G70)+SUM($H$7:H70),0)</f>
        <v>0</v>
      </c>
    </row>
    <row r="71" spans="1:11" s="143" customFormat="1" ht="20.100000000000001" customHeight="1" x14ac:dyDescent="0.25">
      <c r="A71" s="14">
        <v>64</v>
      </c>
      <c r="B71" s="123"/>
      <c r="C71" s="135"/>
      <c r="D71" s="186"/>
      <c r="E71" s="186"/>
      <c r="F71" s="121"/>
      <c r="G71" s="121"/>
      <c r="H71" s="121"/>
      <c r="I71" s="168">
        <f t="shared" si="0"/>
        <v>0</v>
      </c>
      <c r="J71" s="178">
        <f t="shared" si="1"/>
        <v>0</v>
      </c>
      <c r="K71" s="122">
        <f>IF(OR(F71&lt;&gt;0,G71&lt;&gt;0),SUM($F$7:F71)-SUM($G$7:G71)+SUM($H$7:H71),0)</f>
        <v>0</v>
      </c>
    </row>
    <row r="72" spans="1:11" s="143" customFormat="1" ht="20.100000000000001" customHeight="1" x14ac:dyDescent="0.25">
      <c r="A72" s="14">
        <v>65</v>
      </c>
      <c r="B72" s="123"/>
      <c r="C72" s="135"/>
      <c r="D72" s="186"/>
      <c r="E72" s="186"/>
      <c r="F72" s="121"/>
      <c r="G72" s="121"/>
      <c r="H72" s="121"/>
      <c r="I72" s="168">
        <f t="shared" ref="I72:I74" si="2">IF(F72&gt;G72,F72-G72,0)</f>
        <v>0</v>
      </c>
      <c r="J72" s="178">
        <f t="shared" si="1"/>
        <v>0</v>
      </c>
      <c r="K72" s="122">
        <f>IF(OR(F72&lt;&gt;0,G72&lt;&gt;0),SUM($F$7:F72)-SUM($G$7:G72)+SUM($H$7:H72),0)</f>
        <v>0</v>
      </c>
    </row>
    <row r="73" spans="1:11" s="143" customFormat="1" ht="20.100000000000001" customHeight="1" x14ac:dyDescent="0.25">
      <c r="A73" s="14">
        <v>66</v>
      </c>
      <c r="B73" s="123"/>
      <c r="C73" s="135"/>
      <c r="D73" s="186"/>
      <c r="E73" s="186"/>
      <c r="F73" s="121"/>
      <c r="G73" s="121"/>
      <c r="H73" s="121"/>
      <c r="I73" s="168">
        <f t="shared" si="2"/>
        <v>0</v>
      </c>
      <c r="J73" s="178">
        <f t="shared" ref="J73:J74" si="3">IF(F73&lt;G73,G73-F73,0)+H73</f>
        <v>0</v>
      </c>
      <c r="K73" s="122">
        <f>IF(OR(F73&lt;&gt;0,G73&lt;&gt;0),SUM($F$7:F73)-SUM($G$7:G73)+SUM($H$7:H73),0)</f>
        <v>0</v>
      </c>
    </row>
    <row r="74" spans="1:11" s="143" customFormat="1" ht="20.100000000000001" customHeight="1" x14ac:dyDescent="0.25">
      <c r="A74" s="14">
        <v>67</v>
      </c>
      <c r="B74" s="123"/>
      <c r="C74" s="135"/>
      <c r="D74" s="186"/>
      <c r="E74" s="186"/>
      <c r="F74" s="121"/>
      <c r="G74" s="121"/>
      <c r="H74" s="121"/>
      <c r="I74" s="168">
        <f t="shared" si="2"/>
        <v>0</v>
      </c>
      <c r="J74" s="178">
        <f t="shared" si="3"/>
        <v>0</v>
      </c>
      <c r="K74" s="122">
        <f>IF(OR(F74&lt;&gt;0,G74&lt;&gt;0),SUM($F$7:F74)-SUM($G$7:G74)+SUM($H$7:H74),0)</f>
        <v>0</v>
      </c>
    </row>
    <row r="75" spans="1:11" ht="20.100000000000001" customHeight="1" x14ac:dyDescent="0.25"/>
    <row r="76" spans="1:11" ht="20.100000000000001" customHeight="1" x14ac:dyDescent="0.25"/>
    <row r="77" spans="1:11" ht="20.100000000000001" customHeight="1" x14ac:dyDescent="0.25"/>
    <row r="78" spans="1:11" ht="20.100000000000001" customHeight="1" x14ac:dyDescent="0.25"/>
    <row r="79" spans="1:11" ht="20.100000000000001" customHeight="1" x14ac:dyDescent="0.25"/>
    <row r="80" spans="1:11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84" spans="8:8" x14ac:dyDescent="0.25">
      <c r="H184">
        <f>G184+1376000</f>
        <v>1376000</v>
      </c>
    </row>
  </sheetData>
  <mergeCells count="97">
    <mergeCell ref="B57:B58"/>
    <mergeCell ref="C57:C58"/>
    <mergeCell ref="D61:E61"/>
    <mergeCell ref="D62:E62"/>
    <mergeCell ref="D63:E63"/>
    <mergeCell ref="D64:E64"/>
    <mergeCell ref="D12:E12"/>
    <mergeCell ref="D27:E27"/>
    <mergeCell ref="D50:E50"/>
    <mergeCell ref="D31:E31"/>
    <mergeCell ref="D33:E33"/>
    <mergeCell ref="D32:E32"/>
    <mergeCell ref="D55:E55"/>
    <mergeCell ref="D65:E65"/>
    <mergeCell ref="D71:E71"/>
    <mergeCell ref="D72:E72"/>
    <mergeCell ref="D73:E73"/>
    <mergeCell ref="D74:E74"/>
    <mergeCell ref="D66:E66"/>
    <mergeCell ref="D67:E67"/>
    <mergeCell ref="D68:E68"/>
    <mergeCell ref="D69:E69"/>
    <mergeCell ref="D70:E70"/>
    <mergeCell ref="B21:B29"/>
    <mergeCell ref="B18:B20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8:E28"/>
    <mergeCell ref="C18:C20"/>
    <mergeCell ref="C21:C29"/>
    <mergeCell ref="D29:E29"/>
    <mergeCell ref="A2:A5"/>
    <mergeCell ref="B2:B5"/>
    <mergeCell ref="K2:K5"/>
    <mergeCell ref="B7:B8"/>
    <mergeCell ref="B9:B17"/>
    <mergeCell ref="D7:E7"/>
    <mergeCell ref="D8:E8"/>
    <mergeCell ref="D9:E9"/>
    <mergeCell ref="D10:E10"/>
    <mergeCell ref="C2:C5"/>
    <mergeCell ref="C7:C8"/>
    <mergeCell ref="D2:E4"/>
    <mergeCell ref="F2:F4"/>
    <mergeCell ref="G2:G4"/>
    <mergeCell ref="H2:H4"/>
    <mergeCell ref="C9:C17"/>
    <mergeCell ref="D30:E30"/>
    <mergeCell ref="D11:E11"/>
    <mergeCell ref="D23:E23"/>
    <mergeCell ref="D24:E24"/>
    <mergeCell ref="D25:E25"/>
    <mergeCell ref="D26:E26"/>
    <mergeCell ref="C30:C40"/>
    <mergeCell ref="D38:E38"/>
    <mergeCell ref="D36:E36"/>
    <mergeCell ref="D37:E37"/>
    <mergeCell ref="B49:B56"/>
    <mergeCell ref="B30:B40"/>
    <mergeCell ref="D51:E51"/>
    <mergeCell ref="D39:E39"/>
    <mergeCell ref="D46:E46"/>
    <mergeCell ref="D48:E48"/>
    <mergeCell ref="D47:E47"/>
    <mergeCell ref="D45:E45"/>
    <mergeCell ref="D34:E34"/>
    <mergeCell ref="D35:E35"/>
    <mergeCell ref="D43:E43"/>
    <mergeCell ref="D44:E44"/>
    <mergeCell ref="D40:E40"/>
    <mergeCell ref="D41:E41"/>
    <mergeCell ref="D42:E42"/>
    <mergeCell ref="D49:E49"/>
    <mergeCell ref="I2:J3"/>
    <mergeCell ref="I4:J4"/>
    <mergeCell ref="A1:K1"/>
    <mergeCell ref="D60:E60"/>
    <mergeCell ref="B41:B44"/>
    <mergeCell ref="C41:C44"/>
    <mergeCell ref="D52:E52"/>
    <mergeCell ref="D59:E59"/>
    <mergeCell ref="D53:E53"/>
    <mergeCell ref="D56:E56"/>
    <mergeCell ref="D54:E54"/>
    <mergeCell ref="D57:E57"/>
    <mergeCell ref="D58:E58"/>
    <mergeCell ref="B45:B48"/>
    <mergeCell ref="C45:C48"/>
    <mergeCell ref="C49:C56"/>
  </mergeCells>
  <pageMargins left="0.7" right="0.7" top="0.75" bottom="0.75" header="0.3" footer="0.3"/>
  <pageSetup paperSize="9" scale="65" orientation="landscape" horizontalDpi="0" verticalDpi="0" r:id="rId1"/>
  <rowBreaks count="1" manualBreakCount="1">
    <brk id="47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2" sqref="B2:B9"/>
    </sheetView>
  </sheetViews>
  <sheetFormatPr defaultRowHeight="15" x14ac:dyDescent="0.25"/>
  <cols>
    <col min="1" max="1" width="12.42578125" customWidth="1"/>
    <col min="2" max="2" width="41.140625" customWidth="1"/>
    <col min="3" max="3" width="18.140625" customWidth="1"/>
    <col min="4" max="4" width="18.42578125" customWidth="1"/>
    <col min="5" max="5" width="18.28515625" customWidth="1"/>
  </cols>
  <sheetData>
    <row r="1" spans="1:5" ht="20.100000000000001" customHeight="1" x14ac:dyDescent="0.25">
      <c r="A1" s="155" t="s">
        <v>174</v>
      </c>
      <c r="B1" s="155" t="s">
        <v>152</v>
      </c>
      <c r="C1" s="155" t="s">
        <v>291</v>
      </c>
      <c r="D1" s="155" t="s">
        <v>292</v>
      </c>
      <c r="E1" s="155" t="s">
        <v>294</v>
      </c>
    </row>
    <row r="2" spans="1:5" ht="20.100000000000001" customHeight="1" x14ac:dyDescent="0.25">
      <c r="A2" s="234" t="s">
        <v>316</v>
      </c>
      <c r="B2" s="153" t="s">
        <v>129</v>
      </c>
      <c r="C2" s="121">
        <v>655000</v>
      </c>
      <c r="D2" s="121">
        <v>468500</v>
      </c>
      <c r="E2" s="144">
        <f>C2-D2</f>
        <v>186500</v>
      </c>
    </row>
    <row r="3" spans="1:5" ht="20.100000000000001" customHeight="1" x14ac:dyDescent="0.25">
      <c r="A3" s="235"/>
      <c r="B3" s="153" t="s">
        <v>191</v>
      </c>
      <c r="C3" s="121">
        <v>1200000</v>
      </c>
      <c r="D3" s="121">
        <v>593500</v>
      </c>
      <c r="E3" s="144">
        <f t="shared" ref="E3:E9" si="0">C3-D3</f>
        <v>606500</v>
      </c>
    </row>
    <row r="4" spans="1:5" ht="20.100000000000001" customHeight="1" x14ac:dyDescent="0.25">
      <c r="A4" s="234" t="s">
        <v>317</v>
      </c>
      <c r="B4" s="153" t="s">
        <v>246</v>
      </c>
      <c r="C4" s="122">
        <v>1115000</v>
      </c>
      <c r="D4" s="122">
        <v>1276000</v>
      </c>
      <c r="E4" s="144">
        <f t="shared" si="0"/>
        <v>-161000</v>
      </c>
    </row>
    <row r="5" spans="1:5" ht="20.100000000000001" customHeight="1" x14ac:dyDescent="0.25">
      <c r="A5" s="236"/>
      <c r="B5" s="153" t="s">
        <v>256</v>
      </c>
      <c r="C5" s="122">
        <v>0</v>
      </c>
      <c r="D5" s="122">
        <v>549500</v>
      </c>
      <c r="E5" s="144">
        <f t="shared" si="0"/>
        <v>-549500</v>
      </c>
    </row>
    <row r="6" spans="1:5" ht="20.100000000000001" customHeight="1" x14ac:dyDescent="0.25">
      <c r="A6" s="235"/>
      <c r="B6" s="153" t="s">
        <v>257</v>
      </c>
      <c r="C6" s="122">
        <v>250000</v>
      </c>
      <c r="D6" s="122">
        <v>175000</v>
      </c>
      <c r="E6" s="144">
        <f t="shared" si="0"/>
        <v>75000</v>
      </c>
    </row>
    <row r="7" spans="1:5" ht="20.100000000000001" customHeight="1" x14ac:dyDescent="0.25">
      <c r="A7" s="234" t="s">
        <v>318</v>
      </c>
      <c r="B7" s="153" t="s">
        <v>302</v>
      </c>
      <c r="C7" s="122">
        <v>720000</v>
      </c>
      <c r="D7" s="122">
        <v>704000</v>
      </c>
      <c r="E7" s="144">
        <f t="shared" si="0"/>
        <v>16000</v>
      </c>
    </row>
    <row r="8" spans="1:5" ht="20.100000000000001" customHeight="1" x14ac:dyDescent="0.25">
      <c r="A8" s="235"/>
      <c r="B8" s="153" t="s">
        <v>247</v>
      </c>
      <c r="C8" s="122">
        <v>1200000</v>
      </c>
      <c r="D8" s="122">
        <v>1075000</v>
      </c>
      <c r="E8" s="144">
        <f t="shared" si="0"/>
        <v>125000</v>
      </c>
    </row>
    <row r="9" spans="1:5" ht="20.100000000000001" customHeight="1" x14ac:dyDescent="0.25">
      <c r="A9" s="156" t="s">
        <v>319</v>
      </c>
      <c r="B9" s="154" t="s">
        <v>310</v>
      </c>
      <c r="C9" s="121">
        <v>1170000</v>
      </c>
      <c r="D9" s="121">
        <v>746000</v>
      </c>
      <c r="E9" s="144">
        <f t="shared" si="0"/>
        <v>424000</v>
      </c>
    </row>
  </sheetData>
  <mergeCells count="3">
    <mergeCell ref="A7:A8"/>
    <mergeCell ref="A2:A3"/>
    <mergeCell ref="A4:A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12"/>
  <sheetViews>
    <sheetView zoomScaleNormal="100" zoomScaleSheetLayoutView="70" workbookViewId="0">
      <pane xSplit="3" ySplit="2" topLeftCell="D251" activePane="bottomRight" state="frozen"/>
      <selection activeCell="H184" sqref="H184"/>
      <selection pane="topRight" activeCell="H184" sqref="H184"/>
      <selection pane="bottomLeft" activeCell="H184" sqref="H184"/>
      <selection pane="bottomRight" activeCell="D313" sqref="D313"/>
    </sheetView>
  </sheetViews>
  <sheetFormatPr defaultRowHeight="15" x14ac:dyDescent="0.25"/>
  <cols>
    <col min="1" max="1" width="12.140625" customWidth="1"/>
    <col min="2" max="2" width="3.7109375" customWidth="1"/>
    <col min="3" max="3" width="8.42578125" style="110" customWidth="1"/>
    <col min="4" max="4" width="21.42578125" customWidth="1"/>
    <col min="5" max="5" width="16.42578125" customWidth="1"/>
    <col min="6" max="6" width="15.28515625" customWidth="1"/>
    <col min="7" max="7" width="15.42578125" customWidth="1"/>
    <col min="8" max="8" width="13.85546875" customWidth="1"/>
    <col min="9" max="9" width="12.42578125" bestFit="1" customWidth="1"/>
  </cols>
  <sheetData>
    <row r="1" spans="1:7" ht="27.75" customHeight="1" thickBot="1" x14ac:dyDescent="0.3">
      <c r="A1" s="275" t="s">
        <v>0</v>
      </c>
      <c r="B1" s="284" t="s">
        <v>174</v>
      </c>
      <c r="C1" s="277" t="s">
        <v>22</v>
      </c>
      <c r="D1" s="273" t="s">
        <v>1</v>
      </c>
      <c r="E1" s="93" t="s">
        <v>3</v>
      </c>
      <c r="F1" s="94" t="s">
        <v>2</v>
      </c>
      <c r="G1" s="80" t="s">
        <v>4</v>
      </c>
    </row>
    <row r="2" spans="1:7" ht="15.75" customHeight="1" thickBot="1" x14ac:dyDescent="0.3">
      <c r="A2" s="276"/>
      <c r="B2" s="285"/>
      <c r="C2" s="278"/>
      <c r="D2" s="274"/>
      <c r="E2" s="95">
        <f>SUM(E3:E399)</f>
        <v>56590200</v>
      </c>
      <c r="F2" s="96">
        <f>SUM(F3:F420)</f>
        <v>61166000</v>
      </c>
      <c r="G2" s="97">
        <f>F2-E2</f>
        <v>4575800</v>
      </c>
    </row>
    <row r="3" spans="1:7" ht="15.75" thickBot="1" x14ac:dyDescent="0.3">
      <c r="A3" s="68">
        <v>45557</v>
      </c>
      <c r="B3" s="261" t="s">
        <v>175</v>
      </c>
      <c r="C3" s="263" t="s">
        <v>18</v>
      </c>
      <c r="D3" s="81" t="s">
        <v>5</v>
      </c>
      <c r="E3" s="83" t="s">
        <v>17</v>
      </c>
      <c r="F3" s="82">
        <v>7000000</v>
      </c>
      <c r="G3" s="6">
        <v>7000000</v>
      </c>
    </row>
    <row r="4" spans="1:7" ht="15.75" thickBot="1" x14ac:dyDescent="0.3">
      <c r="A4" s="68">
        <v>45559</v>
      </c>
      <c r="B4" s="262"/>
      <c r="C4" s="264"/>
      <c r="D4" s="81" t="s">
        <v>6</v>
      </c>
      <c r="E4" s="82">
        <v>1678000</v>
      </c>
      <c r="F4" s="83" t="s">
        <v>17</v>
      </c>
      <c r="G4" s="6">
        <f>(G3-E4)</f>
        <v>5322000</v>
      </c>
    </row>
    <row r="5" spans="1:7" ht="15.75" thickBot="1" x14ac:dyDescent="0.3">
      <c r="A5" s="280">
        <v>45573</v>
      </c>
      <c r="B5" s="262"/>
      <c r="C5" s="264"/>
      <c r="D5" s="81" t="s">
        <v>7</v>
      </c>
      <c r="E5" s="82">
        <v>25000</v>
      </c>
      <c r="F5" s="83" t="s">
        <v>17</v>
      </c>
      <c r="G5" s="6">
        <f t="shared" ref="G5:G52" si="0">(G4-E5)</f>
        <v>5297000</v>
      </c>
    </row>
    <row r="6" spans="1:7" ht="15.75" thickBot="1" x14ac:dyDescent="0.3">
      <c r="A6" s="280"/>
      <c r="B6" s="262"/>
      <c r="C6" s="264"/>
      <c r="D6" s="81" t="s">
        <v>8</v>
      </c>
      <c r="E6" s="82">
        <v>1450000</v>
      </c>
      <c r="F6" s="83" t="s">
        <v>17</v>
      </c>
      <c r="G6" s="6">
        <f t="shared" ref="G6:G12" si="1">(G5-E6)</f>
        <v>3847000</v>
      </c>
    </row>
    <row r="7" spans="1:7" ht="15.75" thickBot="1" x14ac:dyDescent="0.3">
      <c r="A7" s="266">
        <v>45574</v>
      </c>
      <c r="B7" s="262"/>
      <c r="C7" s="264"/>
      <c r="D7" s="81" t="s">
        <v>9</v>
      </c>
      <c r="E7" s="82">
        <v>45000</v>
      </c>
      <c r="F7" s="83" t="s">
        <v>17</v>
      </c>
      <c r="G7" s="6">
        <f t="shared" si="1"/>
        <v>3802000</v>
      </c>
    </row>
    <row r="8" spans="1:7" s="1" customFormat="1" ht="30.75" customHeight="1" thickBot="1" x14ac:dyDescent="0.3">
      <c r="A8" s="266"/>
      <c r="B8" s="262"/>
      <c r="C8" s="264"/>
      <c r="D8" s="84" t="s">
        <v>10</v>
      </c>
      <c r="E8" s="85">
        <v>2800000</v>
      </c>
      <c r="F8" s="83" t="s">
        <v>17</v>
      </c>
      <c r="G8" s="6">
        <f t="shared" si="1"/>
        <v>1002000</v>
      </c>
    </row>
    <row r="9" spans="1:7" ht="15.75" thickBot="1" x14ac:dyDescent="0.3">
      <c r="A9" s="266"/>
      <c r="B9" s="262"/>
      <c r="C9" s="264"/>
      <c r="D9" s="81" t="s">
        <v>8</v>
      </c>
      <c r="E9" s="82">
        <v>120000</v>
      </c>
      <c r="F9" s="83" t="s">
        <v>17</v>
      </c>
      <c r="G9" s="6">
        <f t="shared" si="1"/>
        <v>882000</v>
      </c>
    </row>
    <row r="10" spans="1:7" ht="15.75" thickBot="1" x14ac:dyDescent="0.3">
      <c r="A10" s="266">
        <v>45575</v>
      </c>
      <c r="B10" s="262"/>
      <c r="C10" s="264"/>
      <c r="D10" s="81" t="s">
        <v>11</v>
      </c>
      <c r="E10" s="82">
        <v>150000</v>
      </c>
      <c r="F10" s="83" t="s">
        <v>17</v>
      </c>
      <c r="G10" s="6">
        <f t="shared" si="1"/>
        <v>732000</v>
      </c>
    </row>
    <row r="11" spans="1:7" ht="15.75" thickBot="1" x14ac:dyDescent="0.3">
      <c r="A11" s="266"/>
      <c r="B11" s="262"/>
      <c r="C11" s="264"/>
      <c r="D11" s="81" t="s">
        <v>8</v>
      </c>
      <c r="E11" s="82">
        <v>112500</v>
      </c>
      <c r="F11" s="83" t="s">
        <v>17</v>
      </c>
      <c r="G11" s="6">
        <f t="shared" si="1"/>
        <v>619500</v>
      </c>
    </row>
    <row r="12" spans="1:7" ht="15.75" thickBot="1" x14ac:dyDescent="0.3">
      <c r="A12" s="266"/>
      <c r="B12" s="262"/>
      <c r="C12" s="264"/>
      <c r="D12" s="81" t="s">
        <v>9</v>
      </c>
      <c r="E12" s="82">
        <v>35000</v>
      </c>
      <c r="F12" s="83" t="s">
        <v>17</v>
      </c>
      <c r="G12" s="6">
        <f t="shared" si="1"/>
        <v>584500</v>
      </c>
    </row>
    <row r="13" spans="1:7" ht="15.75" thickBot="1" x14ac:dyDescent="0.3">
      <c r="A13" s="266"/>
      <c r="B13" s="262"/>
      <c r="C13" s="264"/>
      <c r="D13" s="81" t="s">
        <v>5</v>
      </c>
      <c r="E13" s="83" t="s">
        <v>17</v>
      </c>
      <c r="F13" s="82">
        <v>500000</v>
      </c>
      <c r="G13" s="6">
        <f>(G12+F13)</f>
        <v>1084500</v>
      </c>
    </row>
    <row r="14" spans="1:7" ht="15.75" thickBot="1" x14ac:dyDescent="0.3">
      <c r="A14" s="266"/>
      <c r="B14" s="262"/>
      <c r="C14" s="264"/>
      <c r="D14" s="81" t="s">
        <v>12</v>
      </c>
      <c r="E14" s="82">
        <v>358000</v>
      </c>
      <c r="F14" s="83" t="s">
        <v>17</v>
      </c>
      <c r="G14" s="6">
        <f>(G13-E14)</f>
        <v>726500</v>
      </c>
    </row>
    <row r="15" spans="1:7" ht="15.75" thickBot="1" x14ac:dyDescent="0.3">
      <c r="A15" s="266"/>
      <c r="B15" s="262"/>
      <c r="C15" s="264"/>
      <c r="D15" s="81" t="s">
        <v>13</v>
      </c>
      <c r="E15" s="82">
        <v>7000</v>
      </c>
      <c r="F15" s="83" t="s">
        <v>17</v>
      </c>
      <c r="G15" s="6">
        <f>(G14-E15)</f>
        <v>719500</v>
      </c>
    </row>
    <row r="16" spans="1:7" ht="31.5" customHeight="1" thickBot="1" x14ac:dyDescent="0.3">
      <c r="A16" s="266"/>
      <c r="B16" s="262"/>
      <c r="C16" s="264"/>
      <c r="D16" s="84" t="s">
        <v>14</v>
      </c>
      <c r="E16" s="82">
        <v>150000</v>
      </c>
      <c r="F16" s="83" t="s">
        <v>17</v>
      </c>
      <c r="G16" s="6">
        <f>(G15-E16)</f>
        <v>569500</v>
      </c>
    </row>
    <row r="17" spans="1:10" ht="15.75" thickBot="1" x14ac:dyDescent="0.3">
      <c r="A17" s="266"/>
      <c r="B17" s="262"/>
      <c r="C17" s="264"/>
      <c r="D17" s="81" t="s">
        <v>5</v>
      </c>
      <c r="E17" s="83" t="s">
        <v>17</v>
      </c>
      <c r="F17" s="82">
        <v>400000</v>
      </c>
      <c r="G17" s="6">
        <f>(G16+F17)</f>
        <v>969500</v>
      </c>
    </row>
    <row r="18" spans="1:10" ht="15.75" thickBot="1" x14ac:dyDescent="0.3">
      <c r="A18" s="266"/>
      <c r="B18" s="262"/>
      <c r="C18" s="264"/>
      <c r="D18" s="81" t="s">
        <v>15</v>
      </c>
      <c r="E18" s="82">
        <v>650000</v>
      </c>
      <c r="F18" s="83" t="s">
        <v>17</v>
      </c>
      <c r="G18" s="6">
        <f>(G17-E18)</f>
        <v>319500</v>
      </c>
    </row>
    <row r="19" spans="1:10" ht="15.75" thickBot="1" x14ac:dyDescent="0.3">
      <c r="A19" s="266"/>
      <c r="B19" s="262"/>
      <c r="C19" s="265"/>
      <c r="D19" s="81" t="s">
        <v>16</v>
      </c>
      <c r="E19" s="82">
        <v>72000</v>
      </c>
      <c r="F19" s="83" t="s">
        <v>17</v>
      </c>
      <c r="G19" s="6">
        <f>(G18-E19)</f>
        <v>247500</v>
      </c>
    </row>
    <row r="20" spans="1:10" ht="15.75" thickBot="1" x14ac:dyDescent="0.3">
      <c r="A20" s="266">
        <v>45594</v>
      </c>
      <c r="B20" s="262"/>
      <c r="C20" s="252" t="s">
        <v>21</v>
      </c>
      <c r="D20" s="86" t="s">
        <v>8</v>
      </c>
      <c r="E20" s="82">
        <v>692000</v>
      </c>
      <c r="F20" s="83" t="s">
        <v>17</v>
      </c>
      <c r="G20" s="6">
        <f>(G19-E20)</f>
        <v>-444500</v>
      </c>
    </row>
    <row r="21" spans="1:10" ht="15.75" thickBot="1" x14ac:dyDescent="0.3">
      <c r="A21" s="266"/>
      <c r="B21" s="262"/>
      <c r="C21" s="253"/>
      <c r="D21" s="86" t="s">
        <v>11</v>
      </c>
      <c r="E21" s="82">
        <v>240000</v>
      </c>
      <c r="F21" s="83" t="s">
        <v>17</v>
      </c>
      <c r="G21" s="6">
        <f>(G20-E21)</f>
        <v>-684500</v>
      </c>
    </row>
    <row r="22" spans="1:10" ht="15.75" thickBot="1" x14ac:dyDescent="0.3">
      <c r="A22" s="280">
        <v>45595</v>
      </c>
      <c r="B22" s="262"/>
      <c r="C22" s="253"/>
      <c r="D22" s="86" t="s">
        <v>5</v>
      </c>
      <c r="E22" s="83" t="s">
        <v>17</v>
      </c>
      <c r="F22" s="83">
        <v>4818000</v>
      </c>
      <c r="G22" s="6">
        <f>(G21+'LK Tahunan'!$F22)</f>
        <v>4133500</v>
      </c>
    </row>
    <row r="23" spans="1:10" ht="15.75" thickBot="1" x14ac:dyDescent="0.3">
      <c r="A23" s="280"/>
      <c r="B23" s="262"/>
      <c r="C23" s="253"/>
      <c r="D23" s="86" t="s">
        <v>8</v>
      </c>
      <c r="E23" s="82">
        <v>1186000</v>
      </c>
      <c r="F23" s="83" t="s">
        <v>17</v>
      </c>
      <c r="G23" s="6">
        <f>(G22-E23)</f>
        <v>2947500</v>
      </c>
    </row>
    <row r="24" spans="1:10" ht="15.75" thickBot="1" x14ac:dyDescent="0.3">
      <c r="A24" s="67">
        <v>45596</v>
      </c>
      <c r="B24" s="262"/>
      <c r="C24" s="253"/>
      <c r="D24" s="86" t="s">
        <v>8</v>
      </c>
      <c r="E24" s="82">
        <v>1197500</v>
      </c>
      <c r="F24" s="83" t="s">
        <v>17</v>
      </c>
      <c r="G24" s="6">
        <f>(G23-E24)</f>
        <v>1750000</v>
      </c>
    </row>
    <row r="25" spans="1:10" ht="15.75" thickBot="1" x14ac:dyDescent="0.3">
      <c r="A25" s="58">
        <v>45599</v>
      </c>
      <c r="B25" s="262"/>
      <c r="C25" s="253"/>
      <c r="D25" s="86" t="s">
        <v>19</v>
      </c>
      <c r="E25" s="82">
        <v>55000</v>
      </c>
      <c r="F25" s="83" t="s">
        <v>17</v>
      </c>
      <c r="G25" s="6">
        <f>(G24-E25)</f>
        <v>1695000</v>
      </c>
    </row>
    <row r="26" spans="1:10" ht="15.75" thickBot="1" x14ac:dyDescent="0.3">
      <c r="A26" s="4">
        <v>45603</v>
      </c>
      <c r="B26" s="286"/>
      <c r="C26" s="253"/>
      <c r="D26" s="86" t="s">
        <v>20</v>
      </c>
      <c r="E26" s="82">
        <v>650000</v>
      </c>
      <c r="F26" s="83"/>
      <c r="G26" s="6">
        <f>(G25-E26)</f>
        <v>1045000</v>
      </c>
      <c r="H26" s="78"/>
    </row>
    <row r="27" spans="1:10" ht="15.75" customHeight="1" thickBot="1" x14ac:dyDescent="0.3">
      <c r="A27" s="4">
        <v>45603</v>
      </c>
      <c r="B27" s="270" t="s">
        <v>243</v>
      </c>
      <c r="C27" s="252" t="s">
        <v>244</v>
      </c>
      <c r="D27" s="87" t="s">
        <v>23</v>
      </c>
      <c r="E27" s="88">
        <v>105000</v>
      </c>
      <c r="F27" s="88" t="s">
        <v>17</v>
      </c>
      <c r="G27" s="79">
        <f>(G26-E27)</f>
        <v>940000</v>
      </c>
    </row>
    <row r="28" spans="1:10" ht="15.75" thickBot="1" x14ac:dyDescent="0.3">
      <c r="A28" s="68">
        <v>45611</v>
      </c>
      <c r="B28" s="271"/>
      <c r="C28" s="253"/>
      <c r="D28" s="89" t="s">
        <v>5</v>
      </c>
      <c r="E28" s="88" t="s">
        <v>17</v>
      </c>
      <c r="F28" s="88">
        <v>500000</v>
      </c>
      <c r="G28" s="79">
        <f>(G27+'LK Tahunan'!$F28)</f>
        <v>1440000</v>
      </c>
      <c r="J28">
        <f>J27+I28</f>
        <v>0</v>
      </c>
    </row>
    <row r="29" spans="1:10" ht="15.75" thickBot="1" x14ac:dyDescent="0.3">
      <c r="A29" s="287">
        <v>45612</v>
      </c>
      <c r="B29" s="271"/>
      <c r="C29" s="253"/>
      <c r="D29" s="89" t="s">
        <v>24</v>
      </c>
      <c r="E29" s="88">
        <v>60000</v>
      </c>
      <c r="F29" s="88" t="s">
        <v>17</v>
      </c>
      <c r="G29" s="79">
        <f>(G28-E29)</f>
        <v>1380000</v>
      </c>
    </row>
    <row r="30" spans="1:10" ht="15.75" thickBot="1" x14ac:dyDescent="0.3">
      <c r="A30" s="288"/>
      <c r="B30" s="271"/>
      <c r="C30" s="253"/>
      <c r="D30" s="89" t="s">
        <v>25</v>
      </c>
      <c r="E30" s="88">
        <v>75000</v>
      </c>
      <c r="F30" s="88" t="s">
        <v>17</v>
      </c>
      <c r="G30" s="79">
        <f t="shared" si="0"/>
        <v>1305000</v>
      </c>
    </row>
    <row r="31" spans="1:10" ht="15.75" thickBot="1" x14ac:dyDescent="0.3">
      <c r="A31" s="288"/>
      <c r="B31" s="271"/>
      <c r="C31" s="253"/>
      <c r="D31" s="89" t="s">
        <v>26</v>
      </c>
      <c r="E31" s="88">
        <v>15000</v>
      </c>
      <c r="F31" s="88" t="s">
        <v>17</v>
      </c>
      <c r="G31" s="79">
        <f t="shared" si="0"/>
        <v>1290000</v>
      </c>
    </row>
    <row r="32" spans="1:10" ht="15.75" thickBot="1" x14ac:dyDescent="0.3">
      <c r="A32" s="288"/>
      <c r="B32" s="271"/>
      <c r="C32" s="253"/>
      <c r="D32" s="89" t="s">
        <v>27</v>
      </c>
      <c r="E32" s="88">
        <v>20000</v>
      </c>
      <c r="F32" s="88" t="s">
        <v>17</v>
      </c>
      <c r="G32" s="79">
        <f t="shared" si="0"/>
        <v>1270000</v>
      </c>
    </row>
    <row r="33" spans="1:7" ht="15.75" thickBot="1" x14ac:dyDescent="0.3">
      <c r="A33" s="288"/>
      <c r="B33" s="271"/>
      <c r="C33" s="253"/>
      <c r="D33" s="89" t="s">
        <v>28</v>
      </c>
      <c r="E33" s="88">
        <v>60000</v>
      </c>
      <c r="F33" s="88" t="s">
        <v>17</v>
      </c>
      <c r="G33" s="79">
        <f t="shared" si="0"/>
        <v>1210000</v>
      </c>
    </row>
    <row r="34" spans="1:7" ht="15.75" thickBot="1" x14ac:dyDescent="0.3">
      <c r="A34" s="288"/>
      <c r="B34" s="271"/>
      <c r="C34" s="253"/>
      <c r="D34" s="89" t="s">
        <v>29</v>
      </c>
      <c r="E34" s="88">
        <v>15000</v>
      </c>
      <c r="F34" s="88" t="s">
        <v>17</v>
      </c>
      <c r="G34" s="79">
        <f t="shared" si="0"/>
        <v>1195000</v>
      </c>
    </row>
    <row r="35" spans="1:7" ht="15.75" thickBot="1" x14ac:dyDescent="0.3">
      <c r="A35" s="289"/>
      <c r="B35" s="271"/>
      <c r="C35" s="253"/>
      <c r="D35" s="89" t="s">
        <v>30</v>
      </c>
      <c r="E35" s="88">
        <v>10000</v>
      </c>
      <c r="F35" s="88" t="s">
        <v>17</v>
      </c>
      <c r="G35" s="79">
        <f t="shared" si="0"/>
        <v>1185000</v>
      </c>
    </row>
    <row r="36" spans="1:7" ht="15.75" thickBot="1" x14ac:dyDescent="0.3">
      <c r="A36" s="69">
        <v>45615</v>
      </c>
      <c r="B36" s="271"/>
      <c r="C36" s="254"/>
      <c r="D36" s="89" t="s">
        <v>31</v>
      </c>
      <c r="E36" s="88">
        <v>117000</v>
      </c>
      <c r="F36" s="88" t="s">
        <v>17</v>
      </c>
      <c r="G36" s="79">
        <f t="shared" si="0"/>
        <v>1068000</v>
      </c>
    </row>
    <row r="37" spans="1:7" ht="15.75" thickBot="1" x14ac:dyDescent="0.3">
      <c r="A37" s="241">
        <v>45611</v>
      </c>
      <c r="B37" s="271"/>
      <c r="C37" s="252" t="s">
        <v>32</v>
      </c>
      <c r="D37" s="87" t="s">
        <v>33</v>
      </c>
      <c r="E37" s="88">
        <v>190000</v>
      </c>
      <c r="F37" s="88" t="s">
        <v>17</v>
      </c>
      <c r="G37" s="79">
        <f t="shared" si="0"/>
        <v>878000</v>
      </c>
    </row>
    <row r="38" spans="1:7" ht="15.75" thickBot="1" x14ac:dyDescent="0.3">
      <c r="A38" s="241"/>
      <c r="B38" s="271"/>
      <c r="C38" s="253"/>
      <c r="D38" s="87" t="s">
        <v>34</v>
      </c>
      <c r="E38" s="88" t="s">
        <v>17</v>
      </c>
      <c r="F38" s="88">
        <v>700000</v>
      </c>
      <c r="G38" s="79">
        <f>(G37+'LK Tahunan'!$F38)</f>
        <v>1578000</v>
      </c>
    </row>
    <row r="39" spans="1:7" ht="15.75" thickBot="1" x14ac:dyDescent="0.3">
      <c r="A39" s="267">
        <v>45612</v>
      </c>
      <c r="B39" s="271"/>
      <c r="C39" s="253"/>
      <c r="D39" s="87" t="s">
        <v>35</v>
      </c>
      <c r="E39" s="88">
        <v>162000</v>
      </c>
      <c r="F39" s="88" t="s">
        <v>17</v>
      </c>
      <c r="G39" s="79">
        <f t="shared" si="0"/>
        <v>1416000</v>
      </c>
    </row>
    <row r="40" spans="1:7" ht="15.75" thickBot="1" x14ac:dyDescent="0.3">
      <c r="A40" s="268"/>
      <c r="B40" s="271"/>
      <c r="C40" s="253"/>
      <c r="D40" s="87" t="s">
        <v>36</v>
      </c>
      <c r="E40" s="88">
        <v>100000</v>
      </c>
      <c r="F40" s="88" t="s">
        <v>17</v>
      </c>
      <c r="G40" s="79">
        <f t="shared" si="0"/>
        <v>1316000</v>
      </c>
    </row>
    <row r="41" spans="1:7" ht="15.75" thickBot="1" x14ac:dyDescent="0.3">
      <c r="A41" s="268"/>
      <c r="B41" s="271"/>
      <c r="C41" s="253"/>
      <c r="D41" s="87" t="s">
        <v>37</v>
      </c>
      <c r="E41" s="88">
        <v>50000</v>
      </c>
      <c r="F41" s="88" t="s">
        <v>17</v>
      </c>
      <c r="G41" s="79">
        <f t="shared" si="0"/>
        <v>1266000</v>
      </c>
    </row>
    <row r="42" spans="1:7" ht="15.75" thickBot="1" x14ac:dyDescent="0.3">
      <c r="A42" s="268"/>
      <c r="B42" s="271"/>
      <c r="C42" s="253"/>
      <c r="D42" s="87" t="s">
        <v>38</v>
      </c>
      <c r="E42" s="88">
        <v>60000</v>
      </c>
      <c r="F42" s="88" t="s">
        <v>17</v>
      </c>
      <c r="G42" s="79">
        <f t="shared" si="0"/>
        <v>1206000</v>
      </c>
    </row>
    <row r="43" spans="1:7" ht="15.75" thickBot="1" x14ac:dyDescent="0.3">
      <c r="A43" s="269"/>
      <c r="B43" s="271"/>
      <c r="C43" s="254"/>
      <c r="D43" s="87" t="s">
        <v>48</v>
      </c>
      <c r="E43" s="88">
        <v>20000</v>
      </c>
      <c r="F43" s="88" t="s">
        <v>17</v>
      </c>
      <c r="G43" s="79">
        <f t="shared" si="0"/>
        <v>1186000</v>
      </c>
    </row>
    <row r="44" spans="1:7" ht="24.75" customHeight="1" thickBot="1" x14ac:dyDescent="0.3">
      <c r="A44" s="66">
        <v>45605</v>
      </c>
      <c r="B44" s="271"/>
      <c r="C44" s="252" t="s">
        <v>39</v>
      </c>
      <c r="D44" s="87" t="s">
        <v>39</v>
      </c>
      <c r="E44" s="88">
        <v>633500</v>
      </c>
      <c r="F44" s="88" t="s">
        <v>17</v>
      </c>
      <c r="G44" s="79">
        <f t="shared" si="0"/>
        <v>552500</v>
      </c>
    </row>
    <row r="45" spans="1:7" ht="27" customHeight="1" thickBot="1" x14ac:dyDescent="0.3">
      <c r="A45" s="72">
        <v>45611</v>
      </c>
      <c r="B45" s="271"/>
      <c r="C45" s="253"/>
      <c r="D45" s="87" t="s">
        <v>5</v>
      </c>
      <c r="E45" s="88" t="s">
        <v>17</v>
      </c>
      <c r="F45" s="88">
        <v>450000</v>
      </c>
      <c r="G45" s="79">
        <f>(G44+'LK Tahunan'!$F45)</f>
        <v>1002500</v>
      </c>
    </row>
    <row r="46" spans="1:7" ht="15.75" thickBot="1" x14ac:dyDescent="0.3">
      <c r="A46" s="66">
        <v>45616</v>
      </c>
      <c r="B46" s="271"/>
      <c r="C46" s="252" t="s">
        <v>40</v>
      </c>
      <c r="D46" s="87" t="s">
        <v>5</v>
      </c>
      <c r="E46" s="88" t="s">
        <v>17</v>
      </c>
      <c r="F46" s="88">
        <v>650000</v>
      </c>
      <c r="G46" s="79">
        <f>(G45+'LK Tahunan'!$F46)</f>
        <v>1652500</v>
      </c>
    </row>
    <row r="47" spans="1:7" ht="15.75" thickBot="1" x14ac:dyDescent="0.3">
      <c r="A47" s="240">
        <v>45617</v>
      </c>
      <c r="B47" s="271"/>
      <c r="C47" s="253"/>
      <c r="D47" s="87" t="s">
        <v>41</v>
      </c>
      <c r="E47" s="88">
        <v>500000</v>
      </c>
      <c r="F47" s="88" t="s">
        <v>17</v>
      </c>
      <c r="G47" s="79">
        <f>(G46-E47)</f>
        <v>1152500</v>
      </c>
    </row>
    <row r="48" spans="1:7" ht="15.75" thickBot="1" x14ac:dyDescent="0.3">
      <c r="A48" s="241"/>
      <c r="B48" s="271"/>
      <c r="C48" s="253"/>
      <c r="D48" s="87" t="s">
        <v>42</v>
      </c>
      <c r="E48" s="88">
        <v>40000</v>
      </c>
      <c r="F48" s="88" t="s">
        <v>17</v>
      </c>
      <c r="G48" s="79">
        <f t="shared" si="0"/>
        <v>1112500</v>
      </c>
    </row>
    <row r="49" spans="1:7" ht="15.75" thickBot="1" x14ac:dyDescent="0.3">
      <c r="A49" s="241"/>
      <c r="B49" s="271"/>
      <c r="C49" s="253"/>
      <c r="D49" s="87" t="s">
        <v>43</v>
      </c>
      <c r="E49" s="88">
        <v>12000</v>
      </c>
      <c r="F49" s="88" t="s">
        <v>17</v>
      </c>
      <c r="G49" s="79">
        <f t="shared" si="0"/>
        <v>1100500</v>
      </c>
    </row>
    <row r="50" spans="1:7" ht="15.75" thickBot="1" x14ac:dyDescent="0.3">
      <c r="A50" s="241"/>
      <c r="B50" s="271"/>
      <c r="C50" s="253"/>
      <c r="D50" s="87" t="s">
        <v>44</v>
      </c>
      <c r="E50" s="88">
        <v>70000</v>
      </c>
      <c r="F50" s="88" t="s">
        <v>17</v>
      </c>
      <c r="G50" s="79">
        <f t="shared" si="0"/>
        <v>1030500</v>
      </c>
    </row>
    <row r="51" spans="1:7" ht="15.75" thickBot="1" x14ac:dyDescent="0.3">
      <c r="A51" s="241"/>
      <c r="B51" s="271"/>
      <c r="C51" s="253"/>
      <c r="D51" s="87" t="s">
        <v>45</v>
      </c>
      <c r="E51" s="88">
        <v>15000</v>
      </c>
      <c r="F51" s="88" t="s">
        <v>17</v>
      </c>
      <c r="G51" s="79">
        <f t="shared" si="0"/>
        <v>1015500</v>
      </c>
    </row>
    <row r="52" spans="1:7" ht="15.75" thickBot="1" x14ac:dyDescent="0.3">
      <c r="A52" s="241"/>
      <c r="B52" s="271"/>
      <c r="C52" s="253"/>
      <c r="D52" s="87" t="s">
        <v>46</v>
      </c>
      <c r="E52" s="88">
        <v>20000</v>
      </c>
      <c r="F52" s="88" t="s">
        <v>17</v>
      </c>
      <c r="G52" s="79">
        <f t="shared" si="0"/>
        <v>995500</v>
      </c>
    </row>
    <row r="53" spans="1:7" ht="15.75" thickBot="1" x14ac:dyDescent="0.3">
      <c r="A53" s="242"/>
      <c r="B53" s="271"/>
      <c r="C53" s="254"/>
      <c r="D53" s="90" t="s">
        <v>47</v>
      </c>
      <c r="E53" s="91" t="s">
        <v>17</v>
      </c>
      <c r="F53" s="91">
        <v>7000</v>
      </c>
      <c r="G53" s="92">
        <f>(G52+'LK Tahunan'!$F53)</f>
        <v>1002500</v>
      </c>
    </row>
    <row r="54" spans="1:7" ht="15.75" thickBot="1" x14ac:dyDescent="0.3">
      <c r="A54" s="66">
        <v>45611</v>
      </c>
      <c r="B54" s="271"/>
      <c r="C54" s="252" t="s">
        <v>49</v>
      </c>
      <c r="D54" s="10" t="s">
        <v>5</v>
      </c>
      <c r="E54" s="8" t="s">
        <v>17</v>
      </c>
      <c r="F54" s="8">
        <v>200000</v>
      </c>
      <c r="G54" s="8">
        <f>G53+F54</f>
        <v>1202500</v>
      </c>
    </row>
    <row r="55" spans="1:7" ht="15.75" thickBot="1" x14ac:dyDescent="0.3">
      <c r="A55" s="240">
        <v>45622</v>
      </c>
      <c r="B55" s="271"/>
      <c r="C55" s="253"/>
      <c r="D55" s="10" t="s">
        <v>50</v>
      </c>
      <c r="E55" s="8">
        <v>22000</v>
      </c>
      <c r="F55" s="8" t="s">
        <v>17</v>
      </c>
      <c r="G55" s="8">
        <f>G54-E55</f>
        <v>1180500</v>
      </c>
    </row>
    <row r="56" spans="1:7" ht="15.75" thickBot="1" x14ac:dyDescent="0.3">
      <c r="A56" s="241"/>
      <c r="B56" s="271"/>
      <c r="C56" s="253"/>
      <c r="D56" s="10" t="s">
        <v>51</v>
      </c>
      <c r="E56" s="8">
        <v>36000</v>
      </c>
      <c r="F56" s="8" t="s">
        <v>17</v>
      </c>
      <c r="G56" s="8">
        <f t="shared" ref="G56:G61" si="2">G55-E56</f>
        <v>1144500</v>
      </c>
    </row>
    <row r="57" spans="1:7" ht="15.75" thickBot="1" x14ac:dyDescent="0.3">
      <c r="A57" s="241"/>
      <c r="B57" s="271"/>
      <c r="C57" s="253"/>
      <c r="D57" s="10" t="s">
        <v>48</v>
      </c>
      <c r="E57" s="8">
        <v>50000</v>
      </c>
      <c r="F57" s="8" t="s">
        <v>17</v>
      </c>
      <c r="G57" s="8">
        <f t="shared" si="2"/>
        <v>1094500</v>
      </c>
    </row>
    <row r="58" spans="1:7" ht="15.75" thickBot="1" x14ac:dyDescent="0.3">
      <c r="A58" s="241"/>
      <c r="B58" s="271"/>
      <c r="C58" s="253"/>
      <c r="D58" s="10" t="s">
        <v>52</v>
      </c>
      <c r="E58" s="8">
        <v>4000</v>
      </c>
      <c r="F58" s="8" t="s">
        <v>17</v>
      </c>
      <c r="G58" s="8">
        <f t="shared" si="2"/>
        <v>1090500</v>
      </c>
    </row>
    <row r="59" spans="1:7" ht="15.75" thickBot="1" x14ac:dyDescent="0.3">
      <c r="A59" s="242"/>
      <c r="B59" s="271"/>
      <c r="C59" s="253"/>
      <c r="D59" s="10" t="s">
        <v>53</v>
      </c>
      <c r="E59" s="8">
        <v>15000</v>
      </c>
      <c r="F59" s="8" t="s">
        <v>17</v>
      </c>
      <c r="G59" s="8">
        <f t="shared" si="2"/>
        <v>1075500</v>
      </c>
    </row>
    <row r="60" spans="1:7" ht="15.75" thickBot="1" x14ac:dyDescent="0.3">
      <c r="A60" s="240">
        <v>45624</v>
      </c>
      <c r="B60" s="271"/>
      <c r="C60" s="253"/>
      <c r="D60" s="10" t="s">
        <v>54</v>
      </c>
      <c r="E60" s="8">
        <v>38000</v>
      </c>
      <c r="F60" s="8" t="s">
        <v>17</v>
      </c>
      <c r="G60" s="8">
        <f t="shared" si="2"/>
        <v>1037500</v>
      </c>
    </row>
    <row r="61" spans="1:7" ht="15.75" thickBot="1" x14ac:dyDescent="0.3">
      <c r="A61" s="242"/>
      <c r="B61" s="271"/>
      <c r="C61" s="254"/>
      <c r="D61" s="10" t="s">
        <v>55</v>
      </c>
      <c r="E61" s="8">
        <v>34000</v>
      </c>
      <c r="F61" s="8" t="s">
        <v>17</v>
      </c>
      <c r="G61" s="8">
        <f t="shared" si="2"/>
        <v>1003500</v>
      </c>
    </row>
    <row r="62" spans="1:7" ht="15.75" thickBot="1" x14ac:dyDescent="0.3">
      <c r="A62" s="66">
        <v>45620</v>
      </c>
      <c r="B62" s="271"/>
      <c r="C62" s="252" t="s">
        <v>56</v>
      </c>
      <c r="D62" s="11" t="s">
        <v>5</v>
      </c>
      <c r="E62" s="8" t="s">
        <v>17</v>
      </c>
      <c r="F62" s="8">
        <v>2060000</v>
      </c>
      <c r="G62" s="8">
        <f>G61+F62</f>
        <v>3063500</v>
      </c>
    </row>
    <row r="63" spans="1:7" ht="15.75" thickBot="1" x14ac:dyDescent="0.3">
      <c r="A63" s="240">
        <v>45625</v>
      </c>
      <c r="B63" s="271"/>
      <c r="C63" s="253"/>
      <c r="D63" s="12" t="s">
        <v>57</v>
      </c>
      <c r="E63" s="9">
        <v>1400000</v>
      </c>
      <c r="F63" s="9" t="s">
        <v>17</v>
      </c>
      <c r="G63" s="59">
        <f>G62-E63</f>
        <v>1663500</v>
      </c>
    </row>
    <row r="64" spans="1:7" ht="15.75" thickBot="1" x14ac:dyDescent="0.3">
      <c r="A64" s="242"/>
      <c r="B64" s="271"/>
      <c r="C64" s="254"/>
      <c r="D64" s="13" t="s">
        <v>58</v>
      </c>
      <c r="E64" s="8">
        <v>500000</v>
      </c>
      <c r="F64" s="8" t="s">
        <v>17</v>
      </c>
      <c r="G64" s="59">
        <f>G63-E64</f>
        <v>1163500</v>
      </c>
    </row>
    <row r="65" spans="1:7" ht="15.75" thickBot="1" x14ac:dyDescent="0.3">
      <c r="A65" s="68">
        <v>45620</v>
      </c>
      <c r="B65" s="271"/>
      <c r="C65" s="252" t="s">
        <v>59</v>
      </c>
      <c r="D65" s="60" t="s">
        <v>5</v>
      </c>
      <c r="E65" s="2" t="s">
        <v>17</v>
      </c>
      <c r="F65" s="2">
        <v>1440000</v>
      </c>
      <c r="G65" s="2">
        <f>G64+F65</f>
        <v>2603500</v>
      </c>
    </row>
    <row r="66" spans="1:7" ht="15.75" thickBot="1" x14ac:dyDescent="0.3">
      <c r="A66" s="240">
        <v>45621</v>
      </c>
      <c r="B66" s="271"/>
      <c r="C66" s="253"/>
      <c r="D66" s="60" t="s">
        <v>60</v>
      </c>
      <c r="E66" s="2">
        <v>135000</v>
      </c>
      <c r="F66" s="2" t="s">
        <v>17</v>
      </c>
      <c r="G66" s="2">
        <f>G65-E66</f>
        <v>2468500</v>
      </c>
    </row>
    <row r="67" spans="1:7" ht="15.75" thickBot="1" x14ac:dyDescent="0.3">
      <c r="A67" s="241"/>
      <c r="B67" s="271"/>
      <c r="C67" s="253"/>
      <c r="D67" s="60" t="s">
        <v>61</v>
      </c>
      <c r="E67" s="2">
        <v>480000</v>
      </c>
      <c r="F67" s="2" t="s">
        <v>17</v>
      </c>
      <c r="G67" s="2">
        <f t="shared" ref="G67:G76" si="3">G66-E67</f>
        <v>1988500</v>
      </c>
    </row>
    <row r="68" spans="1:7" ht="15.75" thickBot="1" x14ac:dyDescent="0.3">
      <c r="A68" s="241"/>
      <c r="B68" s="271"/>
      <c r="C68" s="253"/>
      <c r="D68" s="60" t="s">
        <v>62</v>
      </c>
      <c r="E68" s="2">
        <v>37000</v>
      </c>
      <c r="F68" s="2" t="s">
        <v>17</v>
      </c>
      <c r="G68" s="2">
        <f t="shared" si="3"/>
        <v>1951500</v>
      </c>
    </row>
    <row r="69" spans="1:7" ht="15.75" thickBot="1" x14ac:dyDescent="0.3">
      <c r="A69" s="241"/>
      <c r="B69" s="271"/>
      <c r="C69" s="253"/>
      <c r="D69" s="60" t="s">
        <v>63</v>
      </c>
      <c r="E69" s="2">
        <v>133000</v>
      </c>
      <c r="F69" s="2" t="s">
        <v>17</v>
      </c>
      <c r="G69" s="2">
        <f t="shared" si="3"/>
        <v>1818500</v>
      </c>
    </row>
    <row r="70" spans="1:7" ht="15.75" thickBot="1" x14ac:dyDescent="0.3">
      <c r="A70" s="241"/>
      <c r="B70" s="271"/>
      <c r="C70" s="253"/>
      <c r="D70" s="60" t="s">
        <v>64</v>
      </c>
      <c r="E70" s="2">
        <v>150000</v>
      </c>
      <c r="F70" s="2" t="s">
        <v>17</v>
      </c>
      <c r="G70" s="2">
        <f t="shared" si="3"/>
        <v>1668500</v>
      </c>
    </row>
    <row r="71" spans="1:7" ht="15.75" thickBot="1" x14ac:dyDescent="0.3">
      <c r="A71" s="241"/>
      <c r="B71" s="271"/>
      <c r="C71" s="253"/>
      <c r="D71" s="60" t="s">
        <v>65</v>
      </c>
      <c r="E71" s="2">
        <v>50000</v>
      </c>
      <c r="F71" s="2" t="s">
        <v>17</v>
      </c>
      <c r="G71" s="2">
        <f t="shared" si="3"/>
        <v>1618500</v>
      </c>
    </row>
    <row r="72" spans="1:7" ht="15.75" thickBot="1" x14ac:dyDescent="0.3">
      <c r="A72" s="242"/>
      <c r="B72" s="271"/>
      <c r="C72" s="253"/>
      <c r="D72" s="60" t="s">
        <v>53</v>
      </c>
      <c r="E72" s="2">
        <v>10000</v>
      </c>
      <c r="F72" s="2" t="s">
        <v>17</v>
      </c>
      <c r="G72" s="2">
        <f t="shared" si="3"/>
        <v>1608500</v>
      </c>
    </row>
    <row r="73" spans="1:7" ht="15.75" thickBot="1" x14ac:dyDescent="0.3">
      <c r="A73" s="240">
        <v>45627</v>
      </c>
      <c r="B73" s="271"/>
      <c r="C73" s="253"/>
      <c r="D73" s="60" t="s">
        <v>66</v>
      </c>
      <c r="E73" s="2">
        <v>25000</v>
      </c>
      <c r="F73" s="2" t="s">
        <v>17</v>
      </c>
      <c r="G73" s="2">
        <f t="shared" si="3"/>
        <v>1583500</v>
      </c>
    </row>
    <row r="74" spans="1:7" ht="15.75" thickBot="1" x14ac:dyDescent="0.3">
      <c r="A74" s="241"/>
      <c r="B74" s="271"/>
      <c r="C74" s="253"/>
      <c r="D74" s="60" t="s">
        <v>62</v>
      </c>
      <c r="E74" s="2">
        <v>38000</v>
      </c>
      <c r="F74" s="2" t="s">
        <v>17</v>
      </c>
      <c r="G74" s="2">
        <f t="shared" si="3"/>
        <v>1545500</v>
      </c>
    </row>
    <row r="75" spans="1:7" ht="15.75" thickBot="1" x14ac:dyDescent="0.3">
      <c r="A75" s="241"/>
      <c r="B75" s="271"/>
      <c r="C75" s="253"/>
      <c r="D75" s="60" t="s">
        <v>53</v>
      </c>
      <c r="E75" s="2">
        <v>48000</v>
      </c>
      <c r="F75" s="2" t="s">
        <v>17</v>
      </c>
      <c r="G75" s="2">
        <f t="shared" si="3"/>
        <v>1497500</v>
      </c>
    </row>
    <row r="76" spans="1:7" ht="15.75" thickBot="1" x14ac:dyDescent="0.3">
      <c r="A76" s="242"/>
      <c r="B76" s="271"/>
      <c r="C76" s="254"/>
      <c r="D76" s="60" t="s">
        <v>67</v>
      </c>
      <c r="E76" s="2">
        <v>17000</v>
      </c>
      <c r="F76" s="2" t="s">
        <v>17</v>
      </c>
      <c r="G76" s="2">
        <f t="shared" si="3"/>
        <v>1480500</v>
      </c>
    </row>
    <row r="77" spans="1:7" ht="15.75" thickBot="1" x14ac:dyDescent="0.3">
      <c r="A77" s="64">
        <v>45628</v>
      </c>
      <c r="B77" s="271"/>
      <c r="C77" s="281" t="s">
        <v>73</v>
      </c>
      <c r="D77" s="18" t="s">
        <v>5</v>
      </c>
      <c r="E77" s="2" t="s">
        <v>17</v>
      </c>
      <c r="F77" s="2">
        <v>1780000</v>
      </c>
      <c r="G77" s="2">
        <f>G76+F77</f>
        <v>3260500</v>
      </c>
    </row>
    <row r="78" spans="1:7" ht="15.75" thickBot="1" x14ac:dyDescent="0.3">
      <c r="A78" s="237">
        <v>45632</v>
      </c>
      <c r="B78" s="271"/>
      <c r="C78" s="282"/>
      <c r="D78" s="18" t="s">
        <v>74</v>
      </c>
      <c r="E78" s="2">
        <v>341000</v>
      </c>
      <c r="F78" s="2" t="s">
        <v>17</v>
      </c>
      <c r="G78" s="2">
        <f>G77-E78</f>
        <v>2919500</v>
      </c>
    </row>
    <row r="79" spans="1:7" ht="15.75" thickBot="1" x14ac:dyDescent="0.3">
      <c r="A79" s="238"/>
      <c r="B79" s="271"/>
      <c r="C79" s="282"/>
      <c r="D79" s="18" t="s">
        <v>75</v>
      </c>
      <c r="E79" s="2">
        <v>730000</v>
      </c>
      <c r="F79" s="2" t="s">
        <v>17</v>
      </c>
      <c r="G79" s="2">
        <f t="shared" ref="G79:G85" si="4">G78-E79</f>
        <v>2189500</v>
      </c>
    </row>
    <row r="80" spans="1:7" ht="15.75" thickBot="1" x14ac:dyDescent="0.3">
      <c r="A80" s="238"/>
      <c r="B80" s="271"/>
      <c r="C80" s="282"/>
      <c r="D80" s="18" t="s">
        <v>76</v>
      </c>
      <c r="E80" s="2">
        <v>70000</v>
      </c>
      <c r="F80" s="2" t="s">
        <v>17</v>
      </c>
      <c r="G80" s="2">
        <f t="shared" si="4"/>
        <v>2119500</v>
      </c>
    </row>
    <row r="81" spans="1:8" ht="15.75" thickBot="1" x14ac:dyDescent="0.3">
      <c r="A81" s="238"/>
      <c r="B81" s="271"/>
      <c r="C81" s="282"/>
      <c r="D81" s="18" t="s">
        <v>77</v>
      </c>
      <c r="E81" s="2">
        <v>286000</v>
      </c>
      <c r="F81" s="2" t="s">
        <v>17</v>
      </c>
      <c r="G81" s="2">
        <f t="shared" si="4"/>
        <v>1833500</v>
      </c>
    </row>
    <row r="82" spans="1:8" ht="15.75" thickBot="1" x14ac:dyDescent="0.3">
      <c r="A82" s="238"/>
      <c r="B82" s="271"/>
      <c r="C82" s="282"/>
      <c r="D82" s="18" t="s">
        <v>78</v>
      </c>
      <c r="E82" s="2">
        <v>100000</v>
      </c>
      <c r="F82" s="16" t="s">
        <v>17</v>
      </c>
      <c r="G82" s="2">
        <f t="shared" si="4"/>
        <v>1733500</v>
      </c>
    </row>
    <row r="83" spans="1:8" ht="15.75" thickBot="1" x14ac:dyDescent="0.3">
      <c r="A83" s="238"/>
      <c r="B83" s="271"/>
      <c r="C83" s="282"/>
      <c r="D83" s="18" t="s">
        <v>62</v>
      </c>
      <c r="E83" s="2">
        <v>100000</v>
      </c>
      <c r="F83" s="2" t="s">
        <v>17</v>
      </c>
      <c r="G83" s="2">
        <f t="shared" si="4"/>
        <v>1633500</v>
      </c>
    </row>
    <row r="84" spans="1:8" ht="15.75" thickBot="1" x14ac:dyDescent="0.3">
      <c r="A84" s="239"/>
      <c r="B84" s="271"/>
      <c r="C84" s="282"/>
      <c r="D84" s="18" t="s">
        <v>79</v>
      </c>
      <c r="E84" s="2">
        <v>33000</v>
      </c>
      <c r="F84" s="2" t="s">
        <v>17</v>
      </c>
      <c r="G84" s="2">
        <f t="shared" si="4"/>
        <v>1600500</v>
      </c>
    </row>
    <row r="85" spans="1:8" ht="15.75" thickBot="1" x14ac:dyDescent="0.3">
      <c r="A85" s="15">
        <v>45633</v>
      </c>
      <c r="B85" s="271"/>
      <c r="C85" s="283"/>
      <c r="D85" s="19" t="s">
        <v>80</v>
      </c>
      <c r="E85" s="17">
        <v>120000</v>
      </c>
      <c r="F85" s="17" t="s">
        <v>17</v>
      </c>
      <c r="G85" s="2">
        <f t="shared" si="4"/>
        <v>1480500</v>
      </c>
    </row>
    <row r="86" spans="1:8" ht="15.75" thickBot="1" x14ac:dyDescent="0.3">
      <c r="A86" s="66">
        <v>45616</v>
      </c>
      <c r="B86" s="271"/>
      <c r="C86" s="258" t="s">
        <v>85</v>
      </c>
      <c r="D86" s="20" t="s">
        <v>5</v>
      </c>
      <c r="E86" s="21" t="s">
        <v>17</v>
      </c>
      <c r="F86" s="21">
        <v>900000</v>
      </c>
      <c r="G86" s="21">
        <f>G85+F86</f>
        <v>2380500</v>
      </c>
    </row>
    <row r="87" spans="1:8" ht="15.75" thickBot="1" x14ac:dyDescent="0.3">
      <c r="A87" s="240">
        <v>45620</v>
      </c>
      <c r="B87" s="271"/>
      <c r="C87" s="259"/>
      <c r="D87" s="20" t="s">
        <v>81</v>
      </c>
      <c r="E87" s="21">
        <v>75000</v>
      </c>
      <c r="F87" s="21" t="s">
        <v>17</v>
      </c>
      <c r="G87" s="21">
        <f>G86-E87</f>
        <v>2305500</v>
      </c>
    </row>
    <row r="88" spans="1:8" ht="15.75" thickBot="1" x14ac:dyDescent="0.3">
      <c r="A88" s="242"/>
      <c r="B88" s="271"/>
      <c r="C88" s="259"/>
      <c r="D88" s="20" t="s">
        <v>82</v>
      </c>
      <c r="E88" s="21">
        <v>90000</v>
      </c>
      <c r="F88" s="21" t="s">
        <v>17</v>
      </c>
      <c r="G88" s="21">
        <f t="shared" ref="G88:G94" si="5">G87-E88</f>
        <v>2215500</v>
      </c>
    </row>
    <row r="89" spans="1:8" ht="15.75" thickBot="1" x14ac:dyDescent="0.3">
      <c r="A89" s="240">
        <v>45627</v>
      </c>
      <c r="B89" s="271"/>
      <c r="C89" s="259"/>
      <c r="D89" s="20" t="s">
        <v>83</v>
      </c>
      <c r="E89" s="21">
        <v>34000</v>
      </c>
      <c r="F89" s="21" t="s">
        <v>17</v>
      </c>
      <c r="G89" s="21">
        <f t="shared" si="5"/>
        <v>2181500</v>
      </c>
    </row>
    <row r="90" spans="1:8" ht="15.75" thickBot="1" x14ac:dyDescent="0.3">
      <c r="A90" s="242"/>
      <c r="B90" s="271"/>
      <c r="C90" s="259"/>
      <c r="D90" s="20" t="s">
        <v>82</v>
      </c>
      <c r="E90" s="21">
        <v>130000</v>
      </c>
      <c r="F90" s="21" t="s">
        <v>17</v>
      </c>
      <c r="G90" s="21">
        <f t="shared" si="5"/>
        <v>2051500</v>
      </c>
    </row>
    <row r="91" spans="1:8" ht="15.75" thickBot="1" x14ac:dyDescent="0.3">
      <c r="A91" s="68">
        <v>45634</v>
      </c>
      <c r="B91" s="271"/>
      <c r="C91" s="259"/>
      <c r="D91" s="22" t="s">
        <v>84</v>
      </c>
      <c r="E91" s="23">
        <v>71000</v>
      </c>
      <c r="F91" s="23" t="s">
        <v>17</v>
      </c>
      <c r="G91" s="21">
        <f t="shared" si="5"/>
        <v>1980500</v>
      </c>
    </row>
    <row r="92" spans="1:8" ht="15.75" thickBot="1" x14ac:dyDescent="0.3">
      <c r="A92" s="240">
        <v>45646</v>
      </c>
      <c r="B92" s="271"/>
      <c r="C92" s="259"/>
      <c r="D92" s="20" t="s">
        <v>48</v>
      </c>
      <c r="E92" s="21">
        <v>25000</v>
      </c>
      <c r="F92" s="21" t="s">
        <v>17</v>
      </c>
      <c r="G92" s="21">
        <f t="shared" si="5"/>
        <v>1955500</v>
      </c>
    </row>
    <row r="93" spans="1:8" ht="15.75" thickBot="1" x14ac:dyDescent="0.3">
      <c r="A93" s="241"/>
      <c r="B93" s="271"/>
      <c r="C93" s="259"/>
      <c r="D93" s="20" t="s">
        <v>82</v>
      </c>
      <c r="E93" s="21">
        <v>137000</v>
      </c>
      <c r="F93" s="21" t="s">
        <v>17</v>
      </c>
      <c r="G93" s="21">
        <f t="shared" si="5"/>
        <v>1818500</v>
      </c>
    </row>
    <row r="94" spans="1:8" ht="15.75" thickBot="1" x14ac:dyDescent="0.3">
      <c r="A94" s="241"/>
      <c r="B94" s="272"/>
      <c r="C94" s="259"/>
      <c r="D94" s="22" t="s">
        <v>86</v>
      </c>
      <c r="E94" s="23">
        <v>2000</v>
      </c>
      <c r="F94" s="23" t="s">
        <v>17</v>
      </c>
      <c r="G94" s="23">
        <f t="shared" si="5"/>
        <v>1816500</v>
      </c>
      <c r="H94" s="78"/>
    </row>
    <row r="95" spans="1:8" ht="15.75" thickBot="1" x14ac:dyDescent="0.3">
      <c r="A95" s="68">
        <v>45628</v>
      </c>
      <c r="B95" s="261" t="s">
        <v>176</v>
      </c>
      <c r="C95" s="279" t="s">
        <v>95</v>
      </c>
      <c r="D95" s="24" t="s">
        <v>5</v>
      </c>
      <c r="E95" s="5" t="s">
        <v>17</v>
      </c>
      <c r="F95" s="5">
        <v>3750000</v>
      </c>
      <c r="G95" s="5">
        <f>G94+F95</f>
        <v>5566500</v>
      </c>
    </row>
    <row r="96" spans="1:8" ht="15.75" thickBot="1" x14ac:dyDescent="0.3">
      <c r="A96" s="266">
        <v>45634</v>
      </c>
      <c r="B96" s="262"/>
      <c r="C96" s="279"/>
      <c r="D96" s="24" t="s">
        <v>89</v>
      </c>
      <c r="E96" s="5">
        <v>245700</v>
      </c>
      <c r="F96" s="5" t="s">
        <v>17</v>
      </c>
      <c r="G96" s="61">
        <f>G95-E96</f>
        <v>5320800</v>
      </c>
    </row>
    <row r="97" spans="1:7" ht="15.75" thickBot="1" x14ac:dyDescent="0.3">
      <c r="A97" s="266"/>
      <c r="B97" s="262"/>
      <c r="C97" s="279"/>
      <c r="D97" s="24" t="s">
        <v>62</v>
      </c>
      <c r="E97" s="5">
        <v>35500</v>
      </c>
      <c r="F97" s="5" t="s">
        <v>17</v>
      </c>
      <c r="G97" s="61">
        <f t="shared" ref="G97:G107" si="6">G96-E97</f>
        <v>5285300</v>
      </c>
    </row>
    <row r="98" spans="1:7" ht="15.75" thickBot="1" x14ac:dyDescent="0.3">
      <c r="A98" s="266"/>
      <c r="B98" s="262"/>
      <c r="C98" s="279"/>
      <c r="D98" s="24" t="s">
        <v>90</v>
      </c>
      <c r="E98" s="5">
        <v>42000</v>
      </c>
      <c r="F98" s="5" t="s">
        <v>17</v>
      </c>
      <c r="G98" s="61">
        <f t="shared" si="6"/>
        <v>5243300</v>
      </c>
    </row>
    <row r="99" spans="1:7" ht="15.75" thickBot="1" x14ac:dyDescent="0.3">
      <c r="A99" s="266"/>
      <c r="B99" s="262"/>
      <c r="C99" s="279"/>
      <c r="D99" s="24" t="s">
        <v>91</v>
      </c>
      <c r="E99" s="5">
        <v>58500</v>
      </c>
      <c r="F99" s="5" t="s">
        <v>17</v>
      </c>
      <c r="G99" s="61">
        <f t="shared" si="6"/>
        <v>5184800</v>
      </c>
    </row>
    <row r="100" spans="1:7" ht="15.75" thickBot="1" x14ac:dyDescent="0.3">
      <c r="A100" s="266">
        <v>45636</v>
      </c>
      <c r="B100" s="262"/>
      <c r="C100" s="279"/>
      <c r="D100" s="24" t="s">
        <v>89</v>
      </c>
      <c r="E100" s="5">
        <v>207300</v>
      </c>
      <c r="F100" s="5" t="s">
        <v>17</v>
      </c>
      <c r="G100" s="61">
        <f t="shared" si="6"/>
        <v>4977500</v>
      </c>
    </row>
    <row r="101" spans="1:7" ht="15.75" thickBot="1" x14ac:dyDescent="0.3">
      <c r="A101" s="266"/>
      <c r="B101" s="262"/>
      <c r="C101" s="279"/>
      <c r="D101" s="24" t="s">
        <v>89</v>
      </c>
      <c r="E101" s="5">
        <v>116500</v>
      </c>
      <c r="F101" s="5" t="s">
        <v>17</v>
      </c>
      <c r="G101" s="61">
        <f t="shared" si="6"/>
        <v>4861000</v>
      </c>
    </row>
    <row r="102" spans="1:7" ht="15.75" thickBot="1" x14ac:dyDescent="0.3">
      <c r="A102" s="266">
        <v>45638</v>
      </c>
      <c r="B102" s="262"/>
      <c r="C102" s="279"/>
      <c r="D102" s="24" t="s">
        <v>92</v>
      </c>
      <c r="E102" s="5">
        <v>580000</v>
      </c>
      <c r="F102" s="25" t="s">
        <v>17</v>
      </c>
      <c r="G102" s="61">
        <f t="shared" si="6"/>
        <v>4281000</v>
      </c>
    </row>
    <row r="103" spans="1:7" ht="15.75" thickBot="1" x14ac:dyDescent="0.3">
      <c r="A103" s="266"/>
      <c r="B103" s="262"/>
      <c r="C103" s="279"/>
      <c r="D103" s="24" t="s">
        <v>93</v>
      </c>
      <c r="E103" s="5">
        <v>20000</v>
      </c>
      <c r="F103" s="5" t="s">
        <v>17</v>
      </c>
      <c r="G103" s="61">
        <f t="shared" si="6"/>
        <v>4261000</v>
      </c>
    </row>
    <row r="104" spans="1:7" ht="15.75" thickBot="1" x14ac:dyDescent="0.3">
      <c r="A104" s="266">
        <v>45639</v>
      </c>
      <c r="B104" s="262"/>
      <c r="C104" s="279"/>
      <c r="D104" s="24" t="s">
        <v>89</v>
      </c>
      <c r="E104" s="5">
        <v>36000</v>
      </c>
      <c r="F104" s="5" t="s">
        <v>17</v>
      </c>
      <c r="G104" s="61">
        <f t="shared" si="6"/>
        <v>4225000</v>
      </c>
    </row>
    <row r="105" spans="1:7" ht="15.75" thickBot="1" x14ac:dyDescent="0.3">
      <c r="A105" s="266"/>
      <c r="B105" s="262"/>
      <c r="C105" s="279"/>
      <c r="D105" s="24" t="s">
        <v>92</v>
      </c>
      <c r="E105" s="5">
        <v>1447000</v>
      </c>
      <c r="F105" s="5" t="s">
        <v>17</v>
      </c>
      <c r="G105" s="61">
        <f t="shared" si="6"/>
        <v>2778000</v>
      </c>
    </row>
    <row r="106" spans="1:7" ht="15.75" thickBot="1" x14ac:dyDescent="0.3">
      <c r="A106" s="266"/>
      <c r="B106" s="262"/>
      <c r="C106" s="279"/>
      <c r="D106" s="24" t="s">
        <v>94</v>
      </c>
      <c r="E106" s="5">
        <v>576000</v>
      </c>
      <c r="F106" s="5" t="s">
        <v>17</v>
      </c>
      <c r="G106" s="61">
        <f t="shared" si="6"/>
        <v>2202000</v>
      </c>
    </row>
    <row r="107" spans="1:7" ht="15.75" thickBot="1" x14ac:dyDescent="0.3">
      <c r="A107" s="266"/>
      <c r="B107" s="262"/>
      <c r="C107" s="279"/>
      <c r="D107" s="24" t="s">
        <v>62</v>
      </c>
      <c r="E107" s="5">
        <v>34000</v>
      </c>
      <c r="F107" s="5" t="s">
        <v>17</v>
      </c>
      <c r="G107" s="61">
        <f t="shared" si="6"/>
        <v>2168000</v>
      </c>
    </row>
    <row r="108" spans="1:7" ht="15.75" thickBot="1" x14ac:dyDescent="0.3">
      <c r="A108" s="66">
        <v>45650</v>
      </c>
      <c r="B108" s="262"/>
      <c r="C108" s="258" t="s">
        <v>96</v>
      </c>
      <c r="D108" s="27" t="s">
        <v>5</v>
      </c>
      <c r="E108" s="5" t="s">
        <v>17</v>
      </c>
      <c r="F108" s="5">
        <v>2740000</v>
      </c>
      <c r="G108" s="5">
        <f>G107+F108</f>
        <v>4908000</v>
      </c>
    </row>
    <row r="109" spans="1:7" ht="15.75" thickBot="1" x14ac:dyDescent="0.3">
      <c r="A109" s="66">
        <v>45643</v>
      </c>
      <c r="B109" s="262"/>
      <c r="C109" s="259"/>
      <c r="D109" s="28" t="s">
        <v>97</v>
      </c>
      <c r="E109" s="7">
        <v>34000</v>
      </c>
      <c r="F109" s="7" t="s">
        <v>17</v>
      </c>
      <c r="G109" s="5">
        <f>G108-E109</f>
        <v>4874000</v>
      </c>
    </row>
    <row r="110" spans="1:7" ht="15.75" thickBot="1" x14ac:dyDescent="0.3">
      <c r="A110" s="240">
        <v>45644</v>
      </c>
      <c r="B110" s="262"/>
      <c r="C110" s="259"/>
      <c r="D110" s="28" t="s">
        <v>98</v>
      </c>
      <c r="E110" s="7">
        <v>75000</v>
      </c>
      <c r="F110" s="7" t="s">
        <v>17</v>
      </c>
      <c r="G110" s="5">
        <f t="shared" ref="G110:G116" si="7">G109-E110</f>
        <v>4799000</v>
      </c>
    </row>
    <row r="111" spans="1:7" ht="15.75" thickBot="1" x14ac:dyDescent="0.3">
      <c r="A111" s="242"/>
      <c r="B111" s="262"/>
      <c r="C111" s="259"/>
      <c r="D111" s="28" t="s">
        <v>63</v>
      </c>
      <c r="E111" s="7">
        <v>1466000</v>
      </c>
      <c r="F111" s="7" t="s">
        <v>17</v>
      </c>
      <c r="G111" s="5">
        <f t="shared" si="7"/>
        <v>3333000</v>
      </c>
    </row>
    <row r="112" spans="1:7" ht="15.75" thickBot="1" x14ac:dyDescent="0.3">
      <c r="A112" s="66">
        <v>45645</v>
      </c>
      <c r="B112" s="262"/>
      <c r="C112" s="259"/>
      <c r="D112" s="28" t="s">
        <v>99</v>
      </c>
      <c r="E112" s="7">
        <v>246000</v>
      </c>
      <c r="F112" s="7" t="s">
        <v>17</v>
      </c>
      <c r="G112" s="5">
        <f t="shared" si="7"/>
        <v>3087000</v>
      </c>
    </row>
    <row r="113" spans="1:7" ht="15.75" thickBot="1" x14ac:dyDescent="0.3">
      <c r="A113" s="240">
        <v>45652</v>
      </c>
      <c r="B113" s="262"/>
      <c r="C113" s="259"/>
      <c r="D113" s="28" t="s">
        <v>100</v>
      </c>
      <c r="E113" s="7">
        <v>68000</v>
      </c>
      <c r="F113" s="7" t="s">
        <v>17</v>
      </c>
      <c r="G113" s="5">
        <f t="shared" si="7"/>
        <v>3019000</v>
      </c>
    </row>
    <row r="114" spans="1:7" ht="15.75" thickBot="1" x14ac:dyDescent="0.3">
      <c r="A114" s="242"/>
      <c r="B114" s="262"/>
      <c r="C114" s="259"/>
      <c r="D114" s="28" t="s">
        <v>101</v>
      </c>
      <c r="E114" s="7">
        <v>31000</v>
      </c>
      <c r="F114" s="7" t="s">
        <v>17</v>
      </c>
      <c r="G114" s="5">
        <f t="shared" si="7"/>
        <v>2988000</v>
      </c>
    </row>
    <row r="115" spans="1:7" ht="15.75" thickBot="1" x14ac:dyDescent="0.3">
      <c r="A115" s="240">
        <v>45656</v>
      </c>
      <c r="B115" s="262"/>
      <c r="C115" s="259"/>
      <c r="D115" s="28" t="s">
        <v>11</v>
      </c>
      <c r="E115" s="7">
        <v>40000</v>
      </c>
      <c r="F115" s="29" t="s">
        <v>17</v>
      </c>
      <c r="G115" s="5">
        <f t="shared" si="7"/>
        <v>2948000</v>
      </c>
    </row>
    <row r="116" spans="1:7" ht="15.75" thickBot="1" x14ac:dyDescent="0.3">
      <c r="A116" s="242"/>
      <c r="B116" s="262"/>
      <c r="C116" s="260"/>
      <c r="D116" s="27" t="s">
        <v>102</v>
      </c>
      <c r="E116" s="5">
        <v>347000</v>
      </c>
      <c r="F116" s="25" t="s">
        <v>17</v>
      </c>
      <c r="G116" s="5">
        <f t="shared" si="7"/>
        <v>2601000</v>
      </c>
    </row>
    <row r="117" spans="1:7" ht="15.75" thickBot="1" x14ac:dyDescent="0.3">
      <c r="A117" s="64">
        <v>45620</v>
      </c>
      <c r="B117" s="262"/>
      <c r="C117" s="258" t="s">
        <v>111</v>
      </c>
      <c r="D117" s="28" t="s">
        <v>5</v>
      </c>
      <c r="E117" s="7" t="s">
        <v>17</v>
      </c>
      <c r="F117" s="7">
        <v>2420000</v>
      </c>
      <c r="G117" s="5">
        <f>G116+F117</f>
        <v>5021000</v>
      </c>
    </row>
    <row r="118" spans="1:7" ht="15.75" thickBot="1" x14ac:dyDescent="0.3">
      <c r="A118" s="237">
        <v>45615</v>
      </c>
      <c r="B118" s="262"/>
      <c r="C118" s="259"/>
      <c r="D118" s="28" t="s">
        <v>110</v>
      </c>
      <c r="E118" s="7">
        <v>291000</v>
      </c>
      <c r="F118" s="7" t="s">
        <v>17</v>
      </c>
      <c r="G118" s="5">
        <f>G117-E118</f>
        <v>4730000</v>
      </c>
    </row>
    <row r="119" spans="1:7" ht="15.75" thickBot="1" x14ac:dyDescent="0.3">
      <c r="A119" s="238"/>
      <c r="B119" s="262"/>
      <c r="C119" s="259"/>
      <c r="D119" s="28" t="s">
        <v>48</v>
      </c>
      <c r="E119" s="7">
        <v>50000</v>
      </c>
      <c r="F119" s="7" t="s">
        <v>17</v>
      </c>
      <c r="G119" s="5">
        <f t="shared" ref="G119:G133" si="8">G118-E119</f>
        <v>4680000</v>
      </c>
    </row>
    <row r="120" spans="1:7" ht="15.75" thickBot="1" x14ac:dyDescent="0.3">
      <c r="A120" s="239"/>
      <c r="B120" s="262"/>
      <c r="C120" s="259"/>
      <c r="D120" s="28" t="s">
        <v>53</v>
      </c>
      <c r="E120" s="7">
        <v>100000</v>
      </c>
      <c r="F120" s="7" t="s">
        <v>17</v>
      </c>
      <c r="G120" s="5">
        <f t="shared" si="8"/>
        <v>4580000</v>
      </c>
    </row>
    <row r="121" spans="1:7" ht="15.75" thickBot="1" x14ac:dyDescent="0.3">
      <c r="A121" s="64">
        <v>45622</v>
      </c>
      <c r="B121" s="262"/>
      <c r="C121" s="259"/>
      <c r="D121" s="28" t="s">
        <v>109</v>
      </c>
      <c r="E121" s="7">
        <v>355000</v>
      </c>
      <c r="F121" s="7" t="s">
        <v>17</v>
      </c>
      <c r="G121" s="5">
        <f t="shared" si="8"/>
        <v>4225000</v>
      </c>
    </row>
    <row r="122" spans="1:7" ht="15.75" thickBot="1" x14ac:dyDescent="0.3">
      <c r="A122" s="64">
        <v>45626</v>
      </c>
      <c r="B122" s="262"/>
      <c r="C122" s="259"/>
      <c r="D122" s="28" t="s">
        <v>108</v>
      </c>
      <c r="E122" s="7">
        <v>630000</v>
      </c>
      <c r="F122" s="7" t="s">
        <v>17</v>
      </c>
      <c r="G122" s="5">
        <f t="shared" si="8"/>
        <v>3595000</v>
      </c>
    </row>
    <row r="123" spans="1:7" ht="15.75" thickBot="1" x14ac:dyDescent="0.3">
      <c r="A123" s="237">
        <v>45664</v>
      </c>
      <c r="B123" s="262"/>
      <c r="C123" s="259"/>
      <c r="D123" s="28" t="s">
        <v>104</v>
      </c>
      <c r="E123" s="7">
        <v>123000</v>
      </c>
      <c r="F123" s="7" t="s">
        <v>17</v>
      </c>
      <c r="G123" s="5">
        <f t="shared" si="8"/>
        <v>3472000</v>
      </c>
    </row>
    <row r="124" spans="1:7" ht="15.75" thickBot="1" x14ac:dyDescent="0.3">
      <c r="A124" s="238"/>
      <c r="B124" s="262"/>
      <c r="C124" s="259"/>
      <c r="D124" s="28" t="s">
        <v>107</v>
      </c>
      <c r="E124" s="7">
        <v>185000</v>
      </c>
      <c r="F124" s="7" t="s">
        <v>17</v>
      </c>
      <c r="G124" s="5">
        <f t="shared" si="8"/>
        <v>3287000</v>
      </c>
    </row>
    <row r="125" spans="1:7" ht="15.75" thickBot="1" x14ac:dyDescent="0.3">
      <c r="A125" s="238"/>
      <c r="B125" s="262"/>
      <c r="C125" s="259"/>
      <c r="D125" s="28" t="s">
        <v>53</v>
      </c>
      <c r="E125" s="7">
        <v>120000</v>
      </c>
      <c r="F125" s="29" t="s">
        <v>17</v>
      </c>
      <c r="G125" s="5">
        <f t="shared" si="8"/>
        <v>3167000</v>
      </c>
    </row>
    <row r="126" spans="1:7" ht="15.75" thickBot="1" x14ac:dyDescent="0.3">
      <c r="A126" s="238"/>
      <c r="B126" s="262"/>
      <c r="C126" s="259"/>
      <c r="D126" s="28" t="s">
        <v>48</v>
      </c>
      <c r="E126" s="7">
        <v>40000</v>
      </c>
      <c r="F126" s="7" t="s">
        <v>17</v>
      </c>
      <c r="G126" s="5">
        <f t="shared" si="8"/>
        <v>3127000</v>
      </c>
    </row>
    <row r="127" spans="1:7" ht="15.75" thickBot="1" x14ac:dyDescent="0.3">
      <c r="A127" s="239"/>
      <c r="B127" s="262"/>
      <c r="C127" s="259"/>
      <c r="D127" s="28" t="s">
        <v>86</v>
      </c>
      <c r="E127" s="7">
        <v>5000</v>
      </c>
      <c r="F127" s="7" t="s">
        <v>17</v>
      </c>
      <c r="G127" s="5">
        <f t="shared" si="8"/>
        <v>3122000</v>
      </c>
    </row>
    <row r="128" spans="1:7" ht="15.75" thickBot="1" x14ac:dyDescent="0.3">
      <c r="A128" s="237">
        <v>45665</v>
      </c>
      <c r="B128" s="262"/>
      <c r="C128" s="259"/>
      <c r="D128" s="28" t="s">
        <v>104</v>
      </c>
      <c r="E128" s="7">
        <v>245000</v>
      </c>
      <c r="F128" s="7" t="s">
        <v>17</v>
      </c>
      <c r="G128" s="5">
        <f t="shared" si="8"/>
        <v>2877000</v>
      </c>
    </row>
    <row r="129" spans="1:9" ht="15.75" thickBot="1" x14ac:dyDescent="0.3">
      <c r="A129" s="238"/>
      <c r="B129" s="262"/>
      <c r="C129" s="259"/>
      <c r="D129" s="28" t="s">
        <v>106</v>
      </c>
      <c r="E129" s="7">
        <v>6000</v>
      </c>
      <c r="F129" s="7" t="s">
        <v>17</v>
      </c>
      <c r="G129" s="5">
        <f t="shared" si="8"/>
        <v>2871000</v>
      </c>
    </row>
    <row r="130" spans="1:9" ht="15.75" thickBot="1" x14ac:dyDescent="0.3">
      <c r="A130" s="239"/>
      <c r="B130" s="262"/>
      <c r="C130" s="259"/>
      <c r="D130" s="28" t="s">
        <v>48</v>
      </c>
      <c r="E130" s="7">
        <v>20000</v>
      </c>
      <c r="F130" s="7" t="s">
        <v>17</v>
      </c>
      <c r="G130" s="5">
        <f t="shared" si="8"/>
        <v>2851000</v>
      </c>
    </row>
    <row r="131" spans="1:9" ht="15.75" thickBot="1" x14ac:dyDescent="0.3">
      <c r="A131" s="64">
        <v>45970</v>
      </c>
      <c r="B131" s="262"/>
      <c r="C131" s="259"/>
      <c r="D131" s="28" t="s">
        <v>105</v>
      </c>
      <c r="E131" s="7">
        <v>35000</v>
      </c>
      <c r="F131" s="7" t="s">
        <v>17</v>
      </c>
      <c r="G131" s="5">
        <f t="shared" si="8"/>
        <v>2816000</v>
      </c>
    </row>
    <row r="132" spans="1:9" ht="15.75" thickBot="1" x14ac:dyDescent="0.3">
      <c r="A132" s="237">
        <v>45971</v>
      </c>
      <c r="B132" s="262"/>
      <c r="C132" s="259"/>
      <c r="D132" s="28" t="s">
        <v>104</v>
      </c>
      <c r="E132" s="7">
        <v>149000</v>
      </c>
      <c r="F132" s="7" t="s">
        <v>17</v>
      </c>
      <c r="G132" s="5">
        <f t="shared" si="8"/>
        <v>2667000</v>
      </c>
    </row>
    <row r="133" spans="1:9" ht="19.5" customHeight="1" thickBot="1" x14ac:dyDescent="0.3">
      <c r="A133" s="238"/>
      <c r="B133" s="286"/>
      <c r="C133" s="260"/>
      <c r="D133" s="28" t="s">
        <v>103</v>
      </c>
      <c r="E133" s="7">
        <v>43000</v>
      </c>
      <c r="F133" s="7" t="s">
        <v>17</v>
      </c>
      <c r="G133" s="5">
        <f t="shared" si="8"/>
        <v>2624000</v>
      </c>
      <c r="H133" s="78"/>
    </row>
    <row r="134" spans="1:9" ht="24" customHeight="1" thickBot="1" x14ac:dyDescent="0.3">
      <c r="A134" s="66">
        <v>45650</v>
      </c>
      <c r="B134" s="261" t="s">
        <v>177</v>
      </c>
      <c r="C134" s="290" t="s">
        <v>112</v>
      </c>
      <c r="D134" s="30" t="s">
        <v>5</v>
      </c>
      <c r="E134" s="2" t="s">
        <v>17</v>
      </c>
      <c r="F134" s="2">
        <v>1950000</v>
      </c>
      <c r="G134" s="2">
        <f>G133+F134</f>
        <v>4574000</v>
      </c>
    </row>
    <row r="135" spans="1:9" ht="15.75" customHeight="1" thickBot="1" x14ac:dyDescent="0.3">
      <c r="A135" s="68">
        <v>45669</v>
      </c>
      <c r="B135" s="262"/>
      <c r="C135" s="291"/>
      <c r="D135" s="30" t="s">
        <v>113</v>
      </c>
      <c r="E135" s="2">
        <v>1866500</v>
      </c>
      <c r="F135" s="2" t="s">
        <v>17</v>
      </c>
      <c r="G135" s="3">
        <f>G134-E135</f>
        <v>2707500</v>
      </c>
      <c r="I135" s="50"/>
    </row>
    <row r="136" spans="1:9" ht="15.75" thickBot="1" x14ac:dyDescent="0.3">
      <c r="A136" s="241">
        <v>45635</v>
      </c>
      <c r="B136" s="262"/>
      <c r="C136" s="253" t="s">
        <v>114</v>
      </c>
      <c r="D136" s="31" t="s">
        <v>5</v>
      </c>
      <c r="E136" s="32" t="s">
        <v>17</v>
      </c>
      <c r="F136" s="32">
        <v>4800000</v>
      </c>
      <c r="G136" s="32">
        <f>G135+F136</f>
        <v>7507500</v>
      </c>
    </row>
    <row r="137" spans="1:9" ht="15.75" thickBot="1" x14ac:dyDescent="0.3">
      <c r="A137" s="242"/>
      <c r="B137" s="262"/>
      <c r="C137" s="253"/>
      <c r="D137" s="33" t="s">
        <v>115</v>
      </c>
      <c r="E137" s="2" t="s">
        <v>17</v>
      </c>
      <c r="F137" s="2">
        <v>450000</v>
      </c>
      <c r="G137" s="32">
        <f>G136+F137</f>
        <v>7957500</v>
      </c>
    </row>
    <row r="138" spans="1:9" ht="15.75" thickBot="1" x14ac:dyDescent="0.3">
      <c r="A138" s="65">
        <v>45639</v>
      </c>
      <c r="B138" s="262"/>
      <c r="C138" s="253"/>
      <c r="D138" s="33" t="s">
        <v>20</v>
      </c>
      <c r="E138" s="2">
        <v>450000</v>
      </c>
      <c r="F138" s="2" t="s">
        <v>17</v>
      </c>
      <c r="G138" s="3">
        <f>G137-E138</f>
        <v>7507500</v>
      </c>
      <c r="I138" s="50"/>
    </row>
    <row r="139" spans="1:9" ht="15.75" thickBot="1" x14ac:dyDescent="0.3">
      <c r="A139" s="240">
        <v>45658</v>
      </c>
      <c r="B139" s="262"/>
      <c r="C139" s="253"/>
      <c r="D139" s="34" t="s">
        <v>116</v>
      </c>
      <c r="E139" s="17">
        <v>450000</v>
      </c>
      <c r="F139" s="2" t="s">
        <v>17</v>
      </c>
      <c r="G139" s="3">
        <f t="shared" ref="G139:G166" si="9">G138-E139</f>
        <v>7057500</v>
      </c>
    </row>
    <row r="140" spans="1:9" ht="15.75" thickBot="1" x14ac:dyDescent="0.3">
      <c r="A140" s="241"/>
      <c r="B140" s="262"/>
      <c r="C140" s="253"/>
      <c r="D140" s="34" t="s">
        <v>117</v>
      </c>
      <c r="E140" s="17">
        <v>595000</v>
      </c>
      <c r="F140" s="2" t="s">
        <v>17</v>
      </c>
      <c r="G140" s="3">
        <f t="shared" si="9"/>
        <v>6462500</v>
      </c>
    </row>
    <row r="141" spans="1:9" ht="15.75" thickBot="1" x14ac:dyDescent="0.3">
      <c r="A141" s="241"/>
      <c r="B141" s="262"/>
      <c r="C141" s="253"/>
      <c r="D141" s="34" t="s">
        <v>118</v>
      </c>
      <c r="E141" s="17">
        <v>20000</v>
      </c>
      <c r="F141" s="2" t="s">
        <v>17</v>
      </c>
      <c r="G141" s="3">
        <f t="shared" si="9"/>
        <v>6442500</v>
      </c>
    </row>
    <row r="142" spans="1:9" ht="15.75" thickBot="1" x14ac:dyDescent="0.3">
      <c r="A142" s="240">
        <v>45662</v>
      </c>
      <c r="B142" s="262"/>
      <c r="C142" s="253"/>
      <c r="D142" s="34" t="s">
        <v>119</v>
      </c>
      <c r="E142" s="17">
        <v>1490000</v>
      </c>
      <c r="F142" s="2" t="s">
        <v>17</v>
      </c>
      <c r="G142" s="3">
        <f t="shared" si="9"/>
        <v>4952500</v>
      </c>
    </row>
    <row r="143" spans="1:9" ht="15.75" thickBot="1" x14ac:dyDescent="0.3">
      <c r="A143" s="241"/>
      <c r="B143" s="262"/>
      <c r="C143" s="253"/>
      <c r="D143" s="34" t="s">
        <v>120</v>
      </c>
      <c r="E143" s="17">
        <v>337000</v>
      </c>
      <c r="F143" s="2" t="s">
        <v>17</v>
      </c>
      <c r="G143" s="3">
        <f t="shared" si="9"/>
        <v>4615500</v>
      </c>
    </row>
    <row r="144" spans="1:9" ht="15.75" thickBot="1" x14ac:dyDescent="0.3">
      <c r="A144" s="241"/>
      <c r="B144" s="262"/>
      <c r="C144" s="253"/>
      <c r="D144" s="34" t="s">
        <v>63</v>
      </c>
      <c r="E144" s="17">
        <v>32000</v>
      </c>
      <c r="F144" s="2" t="s">
        <v>17</v>
      </c>
      <c r="G144" s="3">
        <f t="shared" si="9"/>
        <v>4583500</v>
      </c>
    </row>
    <row r="145" spans="1:7" ht="15.75" thickBot="1" x14ac:dyDescent="0.3">
      <c r="A145" s="241"/>
      <c r="B145" s="262"/>
      <c r="C145" s="253"/>
      <c r="D145" s="34" t="s">
        <v>48</v>
      </c>
      <c r="E145" s="17">
        <v>65000</v>
      </c>
      <c r="F145" s="2" t="s">
        <v>17</v>
      </c>
      <c r="G145" s="3">
        <f t="shared" si="9"/>
        <v>4518500</v>
      </c>
    </row>
    <row r="146" spans="1:7" ht="15.75" thickBot="1" x14ac:dyDescent="0.3">
      <c r="A146" s="241"/>
      <c r="B146" s="262"/>
      <c r="C146" s="253"/>
      <c r="D146" s="34" t="s">
        <v>121</v>
      </c>
      <c r="E146" s="17">
        <v>230000</v>
      </c>
      <c r="F146" s="2" t="s">
        <v>17</v>
      </c>
      <c r="G146" s="3">
        <f t="shared" si="9"/>
        <v>4288500</v>
      </c>
    </row>
    <row r="147" spans="1:7" ht="15.75" thickBot="1" x14ac:dyDescent="0.3">
      <c r="A147" s="240">
        <v>45663</v>
      </c>
      <c r="B147" s="262"/>
      <c r="C147" s="253"/>
      <c r="D147" s="34" t="s">
        <v>122</v>
      </c>
      <c r="E147" s="17">
        <v>80000</v>
      </c>
      <c r="F147" s="2" t="s">
        <v>17</v>
      </c>
      <c r="G147" s="3">
        <f t="shared" si="9"/>
        <v>4208500</v>
      </c>
    </row>
    <row r="148" spans="1:7" ht="15.75" thickBot="1" x14ac:dyDescent="0.3">
      <c r="A148" s="241"/>
      <c r="B148" s="262"/>
      <c r="C148" s="253"/>
      <c r="D148" s="34" t="s">
        <v>123</v>
      </c>
      <c r="E148" s="17">
        <v>91000</v>
      </c>
      <c r="F148" s="2" t="s">
        <v>17</v>
      </c>
      <c r="G148" s="3">
        <f t="shared" si="9"/>
        <v>4117500</v>
      </c>
    </row>
    <row r="149" spans="1:7" ht="15.75" customHeight="1" thickBot="1" x14ac:dyDescent="0.3">
      <c r="A149" s="66">
        <v>45667</v>
      </c>
      <c r="B149" s="262"/>
      <c r="C149" s="254"/>
      <c r="D149" s="34" t="s">
        <v>124</v>
      </c>
      <c r="E149" s="17">
        <v>78500</v>
      </c>
      <c r="F149" s="17" t="s">
        <v>17</v>
      </c>
      <c r="G149" s="3">
        <f t="shared" si="9"/>
        <v>4039000</v>
      </c>
    </row>
    <row r="150" spans="1:7" ht="15.75" thickBot="1" x14ac:dyDescent="0.3">
      <c r="A150" s="237">
        <v>45679</v>
      </c>
      <c r="B150" s="262"/>
      <c r="C150" s="252" t="s">
        <v>158</v>
      </c>
      <c r="D150" s="34" t="s">
        <v>136</v>
      </c>
      <c r="E150" s="17">
        <v>338500</v>
      </c>
      <c r="F150" s="17" t="s">
        <v>17</v>
      </c>
      <c r="G150" s="3">
        <f t="shared" si="9"/>
        <v>3700500</v>
      </c>
    </row>
    <row r="151" spans="1:7" ht="15.75" thickBot="1" x14ac:dyDescent="0.3">
      <c r="A151" s="238"/>
      <c r="B151" s="262"/>
      <c r="C151" s="253"/>
      <c r="D151" s="34" t="s">
        <v>137</v>
      </c>
      <c r="E151" s="17">
        <v>50000</v>
      </c>
      <c r="F151" s="17" t="s">
        <v>17</v>
      </c>
      <c r="G151" s="3">
        <f t="shared" si="9"/>
        <v>3650500</v>
      </c>
    </row>
    <row r="152" spans="1:7" ht="15.75" thickBot="1" x14ac:dyDescent="0.3">
      <c r="A152" s="238"/>
      <c r="B152" s="262"/>
      <c r="C152" s="253"/>
      <c r="D152" s="34" t="s">
        <v>138</v>
      </c>
      <c r="E152" s="17">
        <v>26000</v>
      </c>
      <c r="F152" s="17" t="s">
        <v>17</v>
      </c>
      <c r="G152" s="3">
        <f t="shared" si="9"/>
        <v>3624500</v>
      </c>
    </row>
    <row r="153" spans="1:7" ht="15.75" thickBot="1" x14ac:dyDescent="0.3">
      <c r="A153" s="238"/>
      <c r="B153" s="262"/>
      <c r="C153" s="253"/>
      <c r="D153" s="34" t="s">
        <v>80</v>
      </c>
      <c r="E153" s="17">
        <v>50000</v>
      </c>
      <c r="F153" s="17" t="s">
        <v>17</v>
      </c>
      <c r="G153" s="3">
        <f t="shared" si="9"/>
        <v>3574500</v>
      </c>
    </row>
    <row r="154" spans="1:7" ht="15.75" thickBot="1" x14ac:dyDescent="0.3">
      <c r="A154" s="239"/>
      <c r="B154" s="262"/>
      <c r="C154" s="253"/>
      <c r="D154" s="34" t="s">
        <v>139</v>
      </c>
      <c r="E154" s="17">
        <v>4000</v>
      </c>
      <c r="F154" s="17" t="s">
        <v>17</v>
      </c>
      <c r="G154" s="3">
        <f t="shared" si="9"/>
        <v>3570500</v>
      </c>
    </row>
    <row r="155" spans="1:7" ht="15.75" customHeight="1" thickBot="1" x14ac:dyDescent="0.3">
      <c r="A155" s="64">
        <v>45680</v>
      </c>
      <c r="B155" s="262"/>
      <c r="C155" s="253"/>
      <c r="D155" s="34" t="s">
        <v>5</v>
      </c>
      <c r="E155" s="17" t="s">
        <v>17</v>
      </c>
      <c r="F155" s="17">
        <v>655000</v>
      </c>
      <c r="G155" s="2">
        <f>G154+F155</f>
        <v>4225500</v>
      </c>
    </row>
    <row r="156" spans="1:7" ht="15.75" thickBot="1" x14ac:dyDescent="0.3">
      <c r="A156" s="237">
        <v>45650</v>
      </c>
      <c r="B156" s="262"/>
      <c r="C156" s="252" t="s">
        <v>140</v>
      </c>
      <c r="D156" s="2" t="s">
        <v>137</v>
      </c>
      <c r="E156" s="2">
        <v>75000</v>
      </c>
      <c r="F156" s="2" t="s">
        <v>17</v>
      </c>
      <c r="G156" s="3">
        <f t="shared" si="9"/>
        <v>4150500</v>
      </c>
    </row>
    <row r="157" spans="1:7" ht="15.75" customHeight="1" thickBot="1" x14ac:dyDescent="0.3">
      <c r="A157" s="238"/>
      <c r="B157" s="262"/>
      <c r="C157" s="253"/>
      <c r="D157" s="34" t="s">
        <v>141</v>
      </c>
      <c r="E157" s="17">
        <v>30000</v>
      </c>
      <c r="F157" s="17" t="s">
        <v>17</v>
      </c>
      <c r="G157" s="3">
        <f t="shared" si="9"/>
        <v>4120500</v>
      </c>
    </row>
    <row r="158" spans="1:7" ht="15.75" thickBot="1" x14ac:dyDescent="0.3">
      <c r="A158" s="239"/>
      <c r="B158" s="262"/>
      <c r="C158" s="253"/>
      <c r="D158" s="34" t="s">
        <v>142</v>
      </c>
      <c r="E158" s="17">
        <v>30000</v>
      </c>
      <c r="F158" s="17" t="s">
        <v>17</v>
      </c>
      <c r="G158" s="3">
        <f t="shared" si="9"/>
        <v>4090500</v>
      </c>
    </row>
    <row r="159" spans="1:7" ht="15.75" thickBot="1" x14ac:dyDescent="0.3">
      <c r="A159" s="237">
        <v>45654</v>
      </c>
      <c r="B159" s="262"/>
      <c r="C159" s="253"/>
      <c r="D159" s="34" t="s">
        <v>143</v>
      </c>
      <c r="E159" s="17">
        <v>435000</v>
      </c>
      <c r="F159" s="17" t="s">
        <v>17</v>
      </c>
      <c r="G159" s="3">
        <f t="shared" si="9"/>
        <v>3655500</v>
      </c>
    </row>
    <row r="160" spans="1:7" ht="15.75" thickBot="1" x14ac:dyDescent="0.3">
      <c r="A160" s="239"/>
      <c r="B160" s="262"/>
      <c r="C160" s="253"/>
      <c r="D160" s="34" t="s">
        <v>142</v>
      </c>
      <c r="E160" s="17">
        <v>30000</v>
      </c>
      <c r="F160" s="17" t="s">
        <v>17</v>
      </c>
      <c r="G160" s="3">
        <f t="shared" si="9"/>
        <v>3625500</v>
      </c>
    </row>
    <row r="161" spans="1:7" ht="15.75" thickBot="1" x14ac:dyDescent="0.3">
      <c r="A161" s="238"/>
      <c r="B161" s="262"/>
      <c r="C161" s="253"/>
      <c r="D161" s="34" t="s">
        <v>144</v>
      </c>
      <c r="E161" s="17">
        <v>120000</v>
      </c>
      <c r="F161" s="17" t="s">
        <v>17</v>
      </c>
      <c r="G161" s="3">
        <f t="shared" si="9"/>
        <v>3505500</v>
      </c>
    </row>
    <row r="162" spans="1:7" ht="15.75" thickBot="1" x14ac:dyDescent="0.3">
      <c r="A162" s="239"/>
      <c r="B162" s="262"/>
      <c r="C162" s="253"/>
      <c r="D162" s="34" t="s">
        <v>145</v>
      </c>
      <c r="E162" s="17">
        <v>20000</v>
      </c>
      <c r="F162" s="17" t="s">
        <v>17</v>
      </c>
      <c r="G162" s="3">
        <f t="shared" si="9"/>
        <v>3485500</v>
      </c>
    </row>
    <row r="163" spans="1:7" ht="15.75" customHeight="1" thickBot="1" x14ac:dyDescent="0.3">
      <c r="A163" s="64">
        <v>45680</v>
      </c>
      <c r="B163" s="262"/>
      <c r="C163" s="253"/>
      <c r="D163" s="34" t="s">
        <v>5</v>
      </c>
      <c r="E163" s="17" t="s">
        <v>17</v>
      </c>
      <c r="F163" s="17">
        <v>750000</v>
      </c>
      <c r="G163" s="2">
        <f>G162+F163</f>
        <v>4235500</v>
      </c>
    </row>
    <row r="164" spans="1:7" ht="15.75" thickBot="1" x14ac:dyDescent="0.3">
      <c r="A164" s="68">
        <v>45679</v>
      </c>
      <c r="B164" s="262"/>
      <c r="C164" s="292" t="s">
        <v>159</v>
      </c>
      <c r="D164" s="34" t="s">
        <v>89</v>
      </c>
      <c r="E164" s="17">
        <v>124000</v>
      </c>
      <c r="F164" s="17" t="s">
        <v>17</v>
      </c>
      <c r="G164" s="3">
        <f t="shared" si="9"/>
        <v>4111500</v>
      </c>
    </row>
    <row r="165" spans="1:7" ht="15.75" thickBot="1" x14ac:dyDescent="0.3">
      <c r="A165" s="240">
        <v>45680</v>
      </c>
      <c r="B165" s="262"/>
      <c r="C165" s="293"/>
      <c r="D165" s="34" t="s">
        <v>160</v>
      </c>
      <c r="E165" s="17">
        <v>219000</v>
      </c>
      <c r="F165" s="17" t="s">
        <v>17</v>
      </c>
      <c r="G165" s="3">
        <f t="shared" si="9"/>
        <v>3892500</v>
      </c>
    </row>
    <row r="166" spans="1:7" ht="15.75" thickBot="1" x14ac:dyDescent="0.3">
      <c r="A166" s="241"/>
      <c r="B166" s="262"/>
      <c r="C166" s="293"/>
      <c r="D166" s="34" t="s">
        <v>161</v>
      </c>
      <c r="E166" s="17">
        <v>34000</v>
      </c>
      <c r="F166" s="2" t="s">
        <v>17</v>
      </c>
      <c r="G166" s="3">
        <f t="shared" si="9"/>
        <v>3858500</v>
      </c>
    </row>
    <row r="167" spans="1:7" ht="15.75" customHeight="1" thickBot="1" x14ac:dyDescent="0.3">
      <c r="A167" s="241"/>
      <c r="B167" s="262"/>
      <c r="C167" s="294"/>
      <c r="D167" s="34" t="s">
        <v>5</v>
      </c>
      <c r="E167" s="2" t="s">
        <v>17</v>
      </c>
      <c r="F167" s="32">
        <v>350000</v>
      </c>
      <c r="G167" s="2">
        <f>G166+F167</f>
        <v>4208500</v>
      </c>
    </row>
    <row r="168" spans="1:7" ht="15.75" customHeight="1" thickBot="1" x14ac:dyDescent="0.3">
      <c r="A168" s="66">
        <v>45680</v>
      </c>
      <c r="B168" s="262"/>
      <c r="C168" s="292" t="s">
        <v>162</v>
      </c>
      <c r="D168" s="73" t="s">
        <v>5</v>
      </c>
      <c r="E168" s="53" t="s">
        <v>17</v>
      </c>
      <c r="F168" s="53">
        <v>670000</v>
      </c>
      <c r="G168" s="2">
        <f>G167+F168</f>
        <v>4878500</v>
      </c>
    </row>
    <row r="169" spans="1:7" ht="15.75" thickBot="1" x14ac:dyDescent="0.3">
      <c r="A169" s="295">
        <v>45681</v>
      </c>
      <c r="B169" s="262"/>
      <c r="C169" s="293"/>
      <c r="D169" s="74" t="s">
        <v>131</v>
      </c>
      <c r="E169" s="75">
        <v>170000</v>
      </c>
      <c r="F169" s="75" t="s">
        <v>17</v>
      </c>
      <c r="G169" s="3">
        <f t="shared" ref="G169:G178" si="10">G168-E169</f>
        <v>4708500</v>
      </c>
    </row>
    <row r="170" spans="1:7" ht="15.75" thickBot="1" x14ac:dyDescent="0.3">
      <c r="A170" s="296"/>
      <c r="B170" s="262"/>
      <c r="C170" s="293"/>
      <c r="D170" s="74" t="s">
        <v>163</v>
      </c>
      <c r="E170" s="75">
        <v>150000</v>
      </c>
      <c r="F170" s="75" t="s">
        <v>17</v>
      </c>
      <c r="G170" s="3">
        <f t="shared" si="10"/>
        <v>4558500</v>
      </c>
    </row>
    <row r="171" spans="1:7" ht="15.75" thickBot="1" x14ac:dyDescent="0.3">
      <c r="A171" s="297"/>
      <c r="B171" s="262"/>
      <c r="C171" s="293"/>
      <c r="D171" s="74" t="s">
        <v>48</v>
      </c>
      <c r="E171" s="75">
        <v>50000</v>
      </c>
      <c r="F171" s="75" t="s">
        <v>17</v>
      </c>
      <c r="G171" s="3">
        <f t="shared" si="10"/>
        <v>4508500</v>
      </c>
    </row>
    <row r="172" spans="1:7" ht="15.75" thickBot="1" x14ac:dyDescent="0.3">
      <c r="A172" s="240">
        <v>45685</v>
      </c>
      <c r="B172" s="262"/>
      <c r="C172" s="293"/>
      <c r="D172" s="74" t="s">
        <v>164</v>
      </c>
      <c r="E172" s="75">
        <v>20000</v>
      </c>
      <c r="F172" s="75" t="s">
        <v>17</v>
      </c>
      <c r="G172" s="3">
        <f t="shared" si="10"/>
        <v>4488500</v>
      </c>
    </row>
    <row r="173" spans="1:7" ht="15.75" thickBot="1" x14ac:dyDescent="0.3">
      <c r="A173" s="242"/>
      <c r="B173" s="262"/>
      <c r="C173" s="294"/>
      <c r="D173" s="74" t="s">
        <v>165</v>
      </c>
      <c r="E173" s="75">
        <v>80000</v>
      </c>
      <c r="F173" s="75" t="s">
        <v>17</v>
      </c>
      <c r="G173" s="3">
        <f t="shared" si="10"/>
        <v>4408500</v>
      </c>
    </row>
    <row r="174" spans="1:7" ht="15.75" thickBot="1" x14ac:dyDescent="0.3">
      <c r="A174" s="64">
        <v>45674</v>
      </c>
      <c r="B174" s="262"/>
      <c r="C174" s="292" t="s">
        <v>154</v>
      </c>
      <c r="D174" s="74" t="s">
        <v>166</v>
      </c>
      <c r="E174" s="75">
        <v>60000</v>
      </c>
      <c r="F174" s="75" t="s">
        <v>17</v>
      </c>
      <c r="G174" s="3">
        <f t="shared" si="10"/>
        <v>4348500</v>
      </c>
    </row>
    <row r="175" spans="1:7" ht="15.75" thickBot="1" x14ac:dyDescent="0.3">
      <c r="A175" s="237">
        <v>45687</v>
      </c>
      <c r="B175" s="262"/>
      <c r="C175" s="293"/>
      <c r="D175" s="74" t="s">
        <v>63</v>
      </c>
      <c r="E175" s="75">
        <v>358500</v>
      </c>
      <c r="F175" s="75" t="s">
        <v>17</v>
      </c>
      <c r="G175" s="3">
        <f t="shared" si="10"/>
        <v>3990000</v>
      </c>
    </row>
    <row r="176" spans="1:7" ht="15.75" thickBot="1" x14ac:dyDescent="0.3">
      <c r="A176" s="238"/>
      <c r="B176" s="262"/>
      <c r="C176" s="293"/>
      <c r="D176" s="74" t="s">
        <v>166</v>
      </c>
      <c r="E176" s="75">
        <v>60000</v>
      </c>
      <c r="F176" s="75" t="s">
        <v>17</v>
      </c>
      <c r="G176" s="3">
        <f t="shared" si="10"/>
        <v>3930000</v>
      </c>
    </row>
    <row r="177" spans="1:8" ht="15.75" thickBot="1" x14ac:dyDescent="0.3">
      <c r="A177" s="238"/>
      <c r="B177" s="262"/>
      <c r="C177" s="293"/>
      <c r="D177" s="74" t="s">
        <v>167</v>
      </c>
      <c r="E177" s="75">
        <v>90000</v>
      </c>
      <c r="F177" s="75" t="s">
        <v>17</v>
      </c>
      <c r="G177" s="3">
        <f t="shared" si="10"/>
        <v>3840000</v>
      </c>
    </row>
    <row r="178" spans="1:8" ht="15.75" thickBot="1" x14ac:dyDescent="0.3">
      <c r="A178" s="239"/>
      <c r="B178" s="262"/>
      <c r="C178" s="293"/>
      <c r="D178" s="74" t="s">
        <v>48</v>
      </c>
      <c r="E178" s="75">
        <v>25000</v>
      </c>
      <c r="F178" s="75" t="s">
        <v>17</v>
      </c>
      <c r="G178" s="3">
        <f t="shared" si="10"/>
        <v>3815000</v>
      </c>
    </row>
    <row r="179" spans="1:8" ht="15.75" thickBot="1" x14ac:dyDescent="0.3">
      <c r="A179" s="71">
        <v>45692</v>
      </c>
      <c r="B179" s="262"/>
      <c r="C179" s="294"/>
      <c r="D179" s="76" t="s">
        <v>5</v>
      </c>
      <c r="E179" s="77" t="s">
        <v>17</v>
      </c>
      <c r="F179" s="77">
        <v>1200000</v>
      </c>
      <c r="G179" s="2">
        <f>G178+F179</f>
        <v>5015000</v>
      </c>
    </row>
    <row r="180" spans="1:8" ht="21.75" customHeight="1" thickBot="1" x14ac:dyDescent="0.3">
      <c r="A180" s="70">
        <v>45635</v>
      </c>
      <c r="B180" s="262"/>
      <c r="C180" s="252" t="s">
        <v>168</v>
      </c>
      <c r="D180" s="73" t="s">
        <v>5</v>
      </c>
      <c r="E180" s="53" t="s">
        <v>17</v>
      </c>
      <c r="F180" s="53">
        <v>750000</v>
      </c>
      <c r="G180" s="2">
        <f>G179+F180</f>
        <v>5765000</v>
      </c>
    </row>
    <row r="181" spans="1:8" ht="27" customHeight="1" thickBot="1" x14ac:dyDescent="0.3">
      <c r="A181" s="15">
        <v>45690</v>
      </c>
      <c r="B181" s="262"/>
      <c r="C181" s="254"/>
      <c r="D181" s="53" t="s">
        <v>168</v>
      </c>
      <c r="E181" s="53">
        <v>1450000</v>
      </c>
      <c r="F181" s="53" t="s">
        <v>17</v>
      </c>
      <c r="G181" s="53">
        <f>G180-E181</f>
        <v>4315000</v>
      </c>
      <c r="H181" s="78"/>
    </row>
    <row r="182" spans="1:8" ht="31.5" customHeight="1" thickBot="1" x14ac:dyDescent="0.3">
      <c r="A182" s="98">
        <v>45696</v>
      </c>
      <c r="B182" s="261" t="s">
        <v>248</v>
      </c>
      <c r="C182" s="109"/>
      <c r="D182" s="100" t="s">
        <v>178</v>
      </c>
      <c r="E182" s="99">
        <v>958500</v>
      </c>
      <c r="F182" s="99" t="s">
        <v>17</v>
      </c>
      <c r="G182" s="99">
        <f t="shared" ref="G182:G245" si="11">G181-E182</f>
        <v>3356500</v>
      </c>
      <c r="H182" s="50">
        <f>G182+1376000</f>
        <v>4732500</v>
      </c>
    </row>
    <row r="183" spans="1:8" ht="15.75" customHeight="1" thickBot="1" x14ac:dyDescent="0.3">
      <c r="A183" s="104">
        <v>45692</v>
      </c>
      <c r="B183" s="262"/>
      <c r="C183" s="249" t="s">
        <v>188</v>
      </c>
      <c r="D183" s="101" t="s">
        <v>5</v>
      </c>
      <c r="E183" s="101" t="s">
        <v>17</v>
      </c>
      <c r="F183" s="101">
        <v>1950000</v>
      </c>
      <c r="G183" s="5">
        <f>G182+F183</f>
        <v>5306500</v>
      </c>
    </row>
    <row r="184" spans="1:8" ht="15.75" thickBot="1" x14ac:dyDescent="0.3">
      <c r="A184" s="237">
        <v>45695</v>
      </c>
      <c r="B184" s="262"/>
      <c r="C184" s="250"/>
      <c r="D184" s="7" t="s">
        <v>193</v>
      </c>
      <c r="E184" s="7">
        <v>315000</v>
      </c>
      <c r="F184" s="7" t="s">
        <v>17</v>
      </c>
      <c r="G184" s="99">
        <f t="shared" si="11"/>
        <v>4991500</v>
      </c>
    </row>
    <row r="185" spans="1:8" ht="15.75" thickBot="1" x14ac:dyDescent="0.3">
      <c r="A185" s="238"/>
      <c r="B185" s="262"/>
      <c r="C185" s="250"/>
      <c r="D185" s="7" t="s">
        <v>48</v>
      </c>
      <c r="E185" s="7">
        <v>44000</v>
      </c>
      <c r="F185" s="7" t="s">
        <v>17</v>
      </c>
      <c r="G185" s="99">
        <f t="shared" si="11"/>
        <v>4947500</v>
      </c>
    </row>
    <row r="186" spans="1:8" ht="15.75" thickBot="1" x14ac:dyDescent="0.3">
      <c r="A186" s="239"/>
      <c r="B186" s="262"/>
      <c r="C186" s="250"/>
      <c r="D186" s="7" t="s">
        <v>79</v>
      </c>
      <c r="E186" s="7">
        <v>30000</v>
      </c>
      <c r="F186" s="7" t="s">
        <v>17</v>
      </c>
      <c r="G186" s="99">
        <f t="shared" si="11"/>
        <v>4917500</v>
      </c>
    </row>
    <row r="187" spans="1:8" ht="15.75" thickBot="1" x14ac:dyDescent="0.3">
      <c r="A187" s="237">
        <v>45696</v>
      </c>
      <c r="B187" s="262"/>
      <c r="C187" s="250"/>
      <c r="D187" s="7" t="s">
        <v>194</v>
      </c>
      <c r="E187" s="7">
        <v>30000</v>
      </c>
      <c r="F187" s="7" t="s">
        <v>17</v>
      </c>
      <c r="G187" s="99">
        <f t="shared" si="11"/>
        <v>4887500</v>
      </c>
    </row>
    <row r="188" spans="1:8" ht="15.75" thickBot="1" x14ac:dyDescent="0.3">
      <c r="A188" s="239"/>
      <c r="B188" s="262"/>
      <c r="C188" s="250"/>
      <c r="D188" s="7" t="s">
        <v>9</v>
      </c>
      <c r="E188" s="7">
        <v>50000</v>
      </c>
      <c r="F188" s="7" t="s">
        <v>17</v>
      </c>
      <c r="G188" s="99">
        <f t="shared" si="11"/>
        <v>4837500</v>
      </c>
    </row>
    <row r="189" spans="1:8" ht="15.75" thickBot="1" x14ac:dyDescent="0.3">
      <c r="A189" s="237">
        <v>45708</v>
      </c>
      <c r="B189" s="262"/>
      <c r="C189" s="250"/>
      <c r="D189" s="7" t="s">
        <v>195</v>
      </c>
      <c r="E189" s="7">
        <v>600000</v>
      </c>
      <c r="F189" s="7" t="s">
        <v>17</v>
      </c>
      <c r="G189" s="99">
        <f t="shared" si="11"/>
        <v>4237500</v>
      </c>
    </row>
    <row r="190" spans="1:8" ht="15.75" thickBot="1" x14ac:dyDescent="0.3">
      <c r="A190" s="239"/>
      <c r="B190" s="262"/>
      <c r="C190" s="251"/>
      <c r="D190" s="5" t="s">
        <v>9</v>
      </c>
      <c r="E190" s="5">
        <v>30000</v>
      </c>
      <c r="F190" s="5" t="s">
        <v>17</v>
      </c>
      <c r="G190" s="99">
        <f t="shared" si="11"/>
        <v>4207500</v>
      </c>
    </row>
    <row r="191" spans="1:8" ht="15.75" customHeight="1" thickBot="1" x14ac:dyDescent="0.3">
      <c r="A191" s="104">
        <v>45692</v>
      </c>
      <c r="B191" s="262"/>
      <c r="C191" s="249" t="s">
        <v>187</v>
      </c>
      <c r="D191" s="101" t="s">
        <v>5</v>
      </c>
      <c r="E191" s="101" t="s">
        <v>17</v>
      </c>
      <c r="F191" s="101">
        <v>1115000</v>
      </c>
      <c r="G191" s="5">
        <f>G190+F191</f>
        <v>5322500</v>
      </c>
    </row>
    <row r="192" spans="1:8" ht="15.75" thickBot="1" x14ac:dyDescent="0.3">
      <c r="A192" s="237">
        <v>45698</v>
      </c>
      <c r="B192" s="262"/>
      <c r="C192" s="250"/>
      <c r="D192" s="7" t="s">
        <v>119</v>
      </c>
      <c r="E192" s="7">
        <v>500000</v>
      </c>
      <c r="F192" s="7" t="s">
        <v>17</v>
      </c>
      <c r="G192" s="99">
        <f t="shared" si="11"/>
        <v>4822500</v>
      </c>
    </row>
    <row r="193" spans="1:7" ht="15.75" thickBot="1" x14ac:dyDescent="0.3">
      <c r="A193" s="238"/>
      <c r="B193" s="262"/>
      <c r="C193" s="250"/>
      <c r="D193" s="7" t="s">
        <v>180</v>
      </c>
      <c r="E193" s="7">
        <v>205000</v>
      </c>
      <c r="F193" s="7" t="s">
        <v>17</v>
      </c>
      <c r="G193" s="99">
        <f t="shared" si="11"/>
        <v>4617500</v>
      </c>
    </row>
    <row r="194" spans="1:7" ht="15.75" thickBot="1" x14ac:dyDescent="0.3">
      <c r="A194" s="238"/>
      <c r="B194" s="262"/>
      <c r="C194" s="250"/>
      <c r="D194" s="7" t="s">
        <v>181</v>
      </c>
      <c r="E194" s="7">
        <v>340000</v>
      </c>
      <c r="F194" s="7" t="s">
        <v>17</v>
      </c>
      <c r="G194" s="99">
        <f t="shared" si="11"/>
        <v>4277500</v>
      </c>
    </row>
    <row r="195" spans="1:7" ht="15.75" thickBot="1" x14ac:dyDescent="0.3">
      <c r="A195" s="238"/>
      <c r="B195" s="262"/>
      <c r="C195" s="250"/>
      <c r="D195" s="7" t="s">
        <v>182</v>
      </c>
      <c r="E195" s="7">
        <v>30000</v>
      </c>
      <c r="F195" s="7" t="s">
        <v>17</v>
      </c>
      <c r="G195" s="99">
        <f t="shared" si="11"/>
        <v>4247500</v>
      </c>
    </row>
    <row r="196" spans="1:7" ht="15.75" thickBot="1" x14ac:dyDescent="0.3">
      <c r="A196" s="238"/>
      <c r="B196" s="262"/>
      <c r="C196" s="250"/>
      <c r="D196" s="7" t="s">
        <v>48</v>
      </c>
      <c r="E196" s="7">
        <v>14000</v>
      </c>
      <c r="F196" s="7" t="s">
        <v>17</v>
      </c>
      <c r="G196" s="99">
        <f t="shared" si="11"/>
        <v>4233500</v>
      </c>
    </row>
    <row r="197" spans="1:7" ht="15.75" thickBot="1" x14ac:dyDescent="0.3">
      <c r="A197" s="238"/>
      <c r="B197" s="262"/>
      <c r="C197" s="250"/>
      <c r="D197" s="7" t="s">
        <v>86</v>
      </c>
      <c r="E197" s="7">
        <v>5000</v>
      </c>
      <c r="F197" s="7" t="s">
        <v>17</v>
      </c>
      <c r="G197" s="99">
        <f t="shared" si="11"/>
        <v>4228500</v>
      </c>
    </row>
    <row r="198" spans="1:7" ht="15.75" thickBot="1" x14ac:dyDescent="0.3">
      <c r="A198" s="238"/>
      <c r="B198" s="262"/>
      <c r="C198" s="250"/>
      <c r="D198" s="7" t="s">
        <v>79</v>
      </c>
      <c r="E198" s="7">
        <v>42000</v>
      </c>
      <c r="F198" s="7" t="s">
        <v>17</v>
      </c>
      <c r="G198" s="99">
        <f t="shared" si="11"/>
        <v>4186500</v>
      </c>
    </row>
    <row r="199" spans="1:7" ht="15.75" thickBot="1" x14ac:dyDescent="0.3">
      <c r="A199" s="239"/>
      <c r="B199" s="262"/>
      <c r="C199" s="250"/>
      <c r="D199" s="7" t="s">
        <v>47</v>
      </c>
      <c r="E199" s="7" t="s">
        <v>17</v>
      </c>
      <c r="F199" s="7">
        <v>21000</v>
      </c>
      <c r="G199" s="5">
        <f>G198+F199</f>
        <v>4207500</v>
      </c>
    </row>
    <row r="200" spans="1:7" ht="15.75" thickBot="1" x14ac:dyDescent="0.3">
      <c r="A200" s="237">
        <v>45699</v>
      </c>
      <c r="B200" s="262"/>
      <c r="C200" s="250"/>
      <c r="D200" s="7" t="s">
        <v>181</v>
      </c>
      <c r="E200" s="7">
        <v>70000</v>
      </c>
      <c r="F200" s="7" t="s">
        <v>17</v>
      </c>
      <c r="G200" s="99">
        <f t="shared" si="11"/>
        <v>4137500</v>
      </c>
    </row>
    <row r="201" spans="1:7" ht="15.75" thickBot="1" x14ac:dyDescent="0.3">
      <c r="A201" s="238"/>
      <c r="B201" s="262"/>
      <c r="C201" s="250"/>
      <c r="D201" s="7" t="s">
        <v>119</v>
      </c>
      <c r="E201" s="7">
        <v>35000</v>
      </c>
      <c r="F201" s="7" t="s">
        <v>17</v>
      </c>
      <c r="G201" s="99">
        <f t="shared" si="11"/>
        <v>4102500</v>
      </c>
    </row>
    <row r="202" spans="1:7" ht="15.75" thickBot="1" x14ac:dyDescent="0.3">
      <c r="A202" s="239"/>
      <c r="B202" s="262"/>
      <c r="C202" s="251"/>
      <c r="D202" s="5" t="s">
        <v>137</v>
      </c>
      <c r="E202" s="5">
        <v>35000</v>
      </c>
      <c r="F202" s="5" t="s">
        <v>17</v>
      </c>
      <c r="G202" s="99">
        <f t="shared" si="11"/>
        <v>4067500</v>
      </c>
    </row>
    <row r="203" spans="1:7" ht="15.75" thickBot="1" x14ac:dyDescent="0.3">
      <c r="A203" s="15">
        <v>45702</v>
      </c>
      <c r="B203" s="262"/>
      <c r="C203" s="249" t="s">
        <v>183</v>
      </c>
      <c r="D203" s="101" t="s">
        <v>11</v>
      </c>
      <c r="E203" s="101">
        <v>90000</v>
      </c>
      <c r="F203" s="101" t="s">
        <v>17</v>
      </c>
      <c r="G203" s="99">
        <f t="shared" si="11"/>
        <v>3977500</v>
      </c>
    </row>
    <row r="204" spans="1:7" ht="15.75" thickBot="1" x14ac:dyDescent="0.3">
      <c r="A204" s="237">
        <v>45703</v>
      </c>
      <c r="B204" s="262"/>
      <c r="C204" s="250"/>
      <c r="D204" s="7" t="s">
        <v>5</v>
      </c>
      <c r="E204" s="7" t="s">
        <v>17</v>
      </c>
      <c r="F204" s="7">
        <v>5400000</v>
      </c>
      <c r="G204" s="5">
        <f>G203+F204</f>
        <v>9377500</v>
      </c>
    </row>
    <row r="205" spans="1:7" ht="15.75" thickBot="1" x14ac:dyDescent="0.3">
      <c r="A205" s="238"/>
      <c r="B205" s="262"/>
      <c r="C205" s="250"/>
      <c r="D205" s="7" t="s">
        <v>12</v>
      </c>
      <c r="E205" s="7">
        <v>200000</v>
      </c>
      <c r="F205" s="7" t="s">
        <v>17</v>
      </c>
      <c r="G205" s="99">
        <f t="shared" si="11"/>
        <v>9177500</v>
      </c>
    </row>
    <row r="206" spans="1:7" ht="15.75" thickBot="1" x14ac:dyDescent="0.3">
      <c r="A206" s="239"/>
      <c r="B206" s="262"/>
      <c r="C206" s="250"/>
      <c r="D206" s="7" t="s">
        <v>196</v>
      </c>
      <c r="E206" s="7">
        <v>276000</v>
      </c>
      <c r="F206" s="7" t="s">
        <v>17</v>
      </c>
      <c r="G206" s="99">
        <f t="shared" si="11"/>
        <v>8901500</v>
      </c>
    </row>
    <row r="207" spans="1:7" ht="15.75" thickBot="1" x14ac:dyDescent="0.3">
      <c r="A207" s="237">
        <v>45704</v>
      </c>
      <c r="B207" s="262"/>
      <c r="C207" s="250"/>
      <c r="D207" s="7" t="s">
        <v>12</v>
      </c>
      <c r="E207" s="7">
        <v>40000</v>
      </c>
      <c r="F207" s="7" t="s">
        <v>17</v>
      </c>
      <c r="G207" s="99">
        <f t="shared" si="11"/>
        <v>8861500</v>
      </c>
    </row>
    <row r="208" spans="1:7" ht="15.75" thickBot="1" x14ac:dyDescent="0.3">
      <c r="A208" s="238"/>
      <c r="B208" s="262"/>
      <c r="C208" s="250"/>
      <c r="D208" s="7" t="s">
        <v>54</v>
      </c>
      <c r="E208" s="7">
        <v>45000</v>
      </c>
      <c r="F208" s="7" t="s">
        <v>17</v>
      </c>
      <c r="G208" s="99">
        <f t="shared" si="11"/>
        <v>8816500</v>
      </c>
    </row>
    <row r="209" spans="1:7" ht="15.75" thickBot="1" x14ac:dyDescent="0.3">
      <c r="A209" s="238"/>
      <c r="B209" s="262"/>
      <c r="C209" s="250"/>
      <c r="D209" s="7" t="s">
        <v>197</v>
      </c>
      <c r="E209" s="7">
        <v>630000</v>
      </c>
      <c r="F209" s="7" t="s">
        <v>17</v>
      </c>
      <c r="G209" s="99">
        <f t="shared" si="11"/>
        <v>8186500</v>
      </c>
    </row>
    <row r="210" spans="1:7" ht="15.75" thickBot="1" x14ac:dyDescent="0.3">
      <c r="A210" s="238"/>
      <c r="B210" s="262"/>
      <c r="C210" s="250"/>
      <c r="D210" s="7" t="s">
        <v>198</v>
      </c>
      <c r="E210" s="7">
        <v>1500000</v>
      </c>
      <c r="F210" s="7" t="s">
        <v>17</v>
      </c>
      <c r="G210" s="99">
        <f t="shared" si="11"/>
        <v>6686500</v>
      </c>
    </row>
    <row r="211" spans="1:7" ht="15.75" thickBot="1" x14ac:dyDescent="0.3">
      <c r="A211" s="238"/>
      <c r="B211" s="262"/>
      <c r="C211" s="250"/>
      <c r="D211" s="7" t="s">
        <v>199</v>
      </c>
      <c r="E211" s="7">
        <v>244500</v>
      </c>
      <c r="F211" s="7" t="s">
        <v>17</v>
      </c>
      <c r="G211" s="99">
        <f t="shared" si="11"/>
        <v>6442000</v>
      </c>
    </row>
    <row r="212" spans="1:7" ht="15.75" thickBot="1" x14ac:dyDescent="0.3">
      <c r="A212" s="238"/>
      <c r="B212" s="262"/>
      <c r="C212" s="250"/>
      <c r="D212" s="7" t="s">
        <v>200</v>
      </c>
      <c r="E212" s="7">
        <v>251500</v>
      </c>
      <c r="F212" s="7" t="s">
        <v>17</v>
      </c>
      <c r="G212" s="99">
        <f t="shared" si="11"/>
        <v>6190500</v>
      </c>
    </row>
    <row r="213" spans="1:7" ht="15.75" thickBot="1" x14ac:dyDescent="0.3">
      <c r="A213" s="238"/>
      <c r="B213" s="262"/>
      <c r="C213" s="250"/>
      <c r="D213" s="7" t="s">
        <v>199</v>
      </c>
      <c r="E213" s="7">
        <v>30000</v>
      </c>
      <c r="F213" s="7" t="s">
        <v>17</v>
      </c>
      <c r="G213" s="99">
        <f t="shared" si="11"/>
        <v>6160500</v>
      </c>
    </row>
    <row r="214" spans="1:7" ht="15.75" thickBot="1" x14ac:dyDescent="0.3">
      <c r="A214" s="238"/>
      <c r="B214" s="262"/>
      <c r="C214" s="250"/>
      <c r="D214" s="7" t="s">
        <v>62</v>
      </c>
      <c r="E214" s="7">
        <v>195000</v>
      </c>
      <c r="F214" s="7" t="s">
        <v>17</v>
      </c>
      <c r="G214" s="99">
        <f t="shared" si="11"/>
        <v>5965500</v>
      </c>
    </row>
    <row r="215" spans="1:7" ht="15.75" thickBot="1" x14ac:dyDescent="0.3">
      <c r="A215" s="238"/>
      <c r="B215" s="262"/>
      <c r="C215" s="250"/>
      <c r="D215" s="7" t="s">
        <v>199</v>
      </c>
      <c r="E215" s="7">
        <v>81500</v>
      </c>
      <c r="F215" s="7" t="s">
        <v>17</v>
      </c>
      <c r="G215" s="99">
        <f t="shared" si="11"/>
        <v>5884000</v>
      </c>
    </row>
    <row r="216" spans="1:7" ht="15.75" thickBot="1" x14ac:dyDescent="0.3">
      <c r="A216" s="238"/>
      <c r="B216" s="262"/>
      <c r="C216" s="250"/>
      <c r="D216" s="7" t="s">
        <v>200</v>
      </c>
      <c r="E216" s="7">
        <v>200000</v>
      </c>
      <c r="F216" s="7" t="s">
        <v>17</v>
      </c>
      <c r="G216" s="99">
        <f t="shared" si="11"/>
        <v>5684000</v>
      </c>
    </row>
    <row r="217" spans="1:7" ht="15.75" thickBot="1" x14ac:dyDescent="0.3">
      <c r="A217" s="238"/>
      <c r="B217" s="262"/>
      <c r="C217" s="250"/>
      <c r="D217" s="7" t="s">
        <v>62</v>
      </c>
      <c r="E217" s="7">
        <v>70000</v>
      </c>
      <c r="F217" s="7" t="s">
        <v>17</v>
      </c>
      <c r="G217" s="99">
        <f t="shared" si="11"/>
        <v>5614000</v>
      </c>
    </row>
    <row r="218" spans="1:7" ht="15.75" thickBot="1" x14ac:dyDescent="0.3">
      <c r="A218" s="238"/>
      <c r="B218" s="262"/>
      <c r="C218" s="250"/>
      <c r="D218" s="7" t="s">
        <v>200</v>
      </c>
      <c r="E218" s="7">
        <v>250000</v>
      </c>
      <c r="F218" s="7" t="s">
        <v>17</v>
      </c>
      <c r="G218" s="99">
        <f t="shared" si="11"/>
        <v>5364000</v>
      </c>
    </row>
    <row r="219" spans="1:7" ht="15.75" thickBot="1" x14ac:dyDescent="0.3">
      <c r="A219" s="238"/>
      <c r="B219" s="262"/>
      <c r="C219" s="250"/>
      <c r="D219" s="7" t="s">
        <v>200</v>
      </c>
      <c r="E219" s="7">
        <v>201500</v>
      </c>
      <c r="F219" s="7" t="s">
        <v>17</v>
      </c>
      <c r="G219" s="99">
        <f t="shared" si="11"/>
        <v>5162500</v>
      </c>
    </row>
    <row r="220" spans="1:7" ht="15.75" thickBot="1" x14ac:dyDescent="0.3">
      <c r="A220" s="238"/>
      <c r="B220" s="262"/>
      <c r="C220" s="250"/>
      <c r="D220" s="7" t="s">
        <v>201</v>
      </c>
      <c r="E220" s="7">
        <v>100000</v>
      </c>
      <c r="F220" s="7" t="s">
        <v>17</v>
      </c>
      <c r="G220" s="99">
        <f t="shared" si="11"/>
        <v>5062500</v>
      </c>
    </row>
    <row r="221" spans="1:7" ht="15.75" thickBot="1" x14ac:dyDescent="0.3">
      <c r="A221" s="238"/>
      <c r="B221" s="262"/>
      <c r="C221" s="250"/>
      <c r="D221" s="7" t="s">
        <v>202</v>
      </c>
      <c r="E221" s="7">
        <v>400000</v>
      </c>
      <c r="F221" s="7" t="s">
        <v>17</v>
      </c>
      <c r="G221" s="99">
        <f t="shared" si="11"/>
        <v>4662500</v>
      </c>
    </row>
    <row r="222" spans="1:7" ht="15.75" thickBot="1" x14ac:dyDescent="0.3">
      <c r="A222" s="238"/>
      <c r="B222" s="262"/>
      <c r="C222" s="250"/>
      <c r="D222" s="7" t="s">
        <v>62</v>
      </c>
      <c r="E222" s="7">
        <v>112000</v>
      </c>
      <c r="F222" s="7" t="s">
        <v>17</v>
      </c>
      <c r="G222" s="99">
        <f t="shared" si="11"/>
        <v>4550500</v>
      </c>
    </row>
    <row r="223" spans="1:7" ht="15.75" thickBot="1" x14ac:dyDescent="0.3">
      <c r="A223" s="238"/>
      <c r="B223" s="262"/>
      <c r="C223" s="250"/>
      <c r="D223" s="5" t="s">
        <v>203</v>
      </c>
      <c r="E223" s="5">
        <v>44000</v>
      </c>
      <c r="F223" s="5" t="s">
        <v>17</v>
      </c>
      <c r="G223" s="99">
        <f t="shared" si="11"/>
        <v>4506500</v>
      </c>
    </row>
    <row r="224" spans="1:7" ht="15.75" thickBot="1" x14ac:dyDescent="0.3">
      <c r="A224" s="239"/>
      <c r="B224" s="262"/>
      <c r="C224" s="250"/>
      <c r="D224" s="5" t="s">
        <v>20</v>
      </c>
      <c r="E224" s="5">
        <v>100000</v>
      </c>
      <c r="F224" s="5"/>
      <c r="G224" s="99">
        <f t="shared" si="11"/>
        <v>4406500</v>
      </c>
    </row>
    <row r="225" spans="1:7" ht="15.75" thickBot="1" x14ac:dyDescent="0.3">
      <c r="A225" s="237">
        <v>45705</v>
      </c>
      <c r="B225" s="262"/>
      <c r="C225" s="250"/>
      <c r="D225" s="7" t="s">
        <v>199</v>
      </c>
      <c r="E225" s="7">
        <v>25000</v>
      </c>
      <c r="F225" s="7" t="s">
        <v>17</v>
      </c>
      <c r="G225" s="99">
        <f t="shared" si="11"/>
        <v>4381500</v>
      </c>
    </row>
    <row r="226" spans="1:7" ht="15.75" thickBot="1" x14ac:dyDescent="0.3">
      <c r="A226" s="239"/>
      <c r="B226" s="262"/>
      <c r="C226" s="251"/>
      <c r="D226" s="7" t="s">
        <v>62</v>
      </c>
      <c r="E226" s="7">
        <v>126500</v>
      </c>
      <c r="F226" s="7" t="s">
        <v>17</v>
      </c>
      <c r="G226" s="99">
        <f t="shared" si="11"/>
        <v>4255000</v>
      </c>
    </row>
    <row r="227" spans="1:7" ht="15.75" thickBot="1" x14ac:dyDescent="0.3">
      <c r="A227" s="104">
        <v>45700</v>
      </c>
      <c r="B227" s="262"/>
      <c r="C227" s="249" t="s">
        <v>204</v>
      </c>
      <c r="D227" s="5" t="s">
        <v>5</v>
      </c>
      <c r="E227" s="5" t="s">
        <v>17</v>
      </c>
      <c r="F227" s="5">
        <v>2300000</v>
      </c>
      <c r="G227" s="5">
        <f>G226+F227</f>
        <v>6555000</v>
      </c>
    </row>
    <row r="228" spans="1:7" ht="15.75" thickBot="1" x14ac:dyDescent="0.3">
      <c r="A228" s="104">
        <v>45701</v>
      </c>
      <c r="B228" s="262"/>
      <c r="C228" s="250"/>
      <c r="D228" s="5" t="s">
        <v>205</v>
      </c>
      <c r="E228" s="5">
        <v>847000</v>
      </c>
      <c r="F228" s="5" t="s">
        <v>17</v>
      </c>
      <c r="G228" s="99">
        <f t="shared" si="11"/>
        <v>5708000</v>
      </c>
    </row>
    <row r="229" spans="1:7" ht="15.75" thickBot="1" x14ac:dyDescent="0.3">
      <c r="A229" s="104">
        <v>45702</v>
      </c>
      <c r="B229" s="262"/>
      <c r="C229" s="250"/>
      <c r="D229" s="7" t="s">
        <v>11</v>
      </c>
      <c r="E229" s="7">
        <v>90000</v>
      </c>
      <c r="F229" s="5" t="s">
        <v>17</v>
      </c>
      <c r="G229" s="99">
        <f t="shared" si="11"/>
        <v>5618000</v>
      </c>
    </row>
    <row r="230" spans="1:7" ht="15.75" thickBot="1" x14ac:dyDescent="0.3">
      <c r="A230" s="104">
        <v>45706</v>
      </c>
      <c r="B230" s="262"/>
      <c r="C230" s="250"/>
      <c r="D230" s="7" t="s">
        <v>89</v>
      </c>
      <c r="E230" s="7">
        <v>141000</v>
      </c>
      <c r="F230" s="5" t="s">
        <v>17</v>
      </c>
      <c r="G230" s="99">
        <f t="shared" si="11"/>
        <v>5477000</v>
      </c>
    </row>
    <row r="231" spans="1:7" ht="15.75" thickBot="1" x14ac:dyDescent="0.3">
      <c r="A231" s="237">
        <v>45707</v>
      </c>
      <c r="B231" s="262"/>
      <c r="C231" s="250"/>
      <c r="D231" s="7" t="s">
        <v>206</v>
      </c>
      <c r="E231" s="7">
        <v>32000</v>
      </c>
      <c r="F231" s="5" t="s">
        <v>17</v>
      </c>
      <c r="G231" s="99">
        <f t="shared" si="11"/>
        <v>5445000</v>
      </c>
    </row>
    <row r="232" spans="1:7" ht="15.75" thickBot="1" x14ac:dyDescent="0.3">
      <c r="A232" s="238"/>
      <c r="B232" s="262"/>
      <c r="C232" s="250"/>
      <c r="D232" s="7" t="s">
        <v>207</v>
      </c>
      <c r="E232" s="7">
        <v>10000</v>
      </c>
      <c r="F232" s="5" t="s">
        <v>17</v>
      </c>
      <c r="G232" s="99">
        <f t="shared" si="11"/>
        <v>5435000</v>
      </c>
    </row>
    <row r="233" spans="1:7" ht="15.75" thickBot="1" x14ac:dyDescent="0.3">
      <c r="A233" s="238"/>
      <c r="B233" s="262"/>
      <c r="C233" s="250"/>
      <c r="D233" s="7" t="s">
        <v>208</v>
      </c>
      <c r="E233" s="7">
        <v>7000</v>
      </c>
      <c r="F233" s="5" t="s">
        <v>17</v>
      </c>
      <c r="G233" s="99">
        <f t="shared" si="11"/>
        <v>5428000</v>
      </c>
    </row>
    <row r="234" spans="1:7" ht="15.75" thickBot="1" x14ac:dyDescent="0.3">
      <c r="A234" s="238"/>
      <c r="B234" s="262"/>
      <c r="C234" s="250"/>
      <c r="D234" s="7" t="s">
        <v>119</v>
      </c>
      <c r="E234" s="7">
        <v>155000</v>
      </c>
      <c r="F234" s="5" t="s">
        <v>17</v>
      </c>
      <c r="G234" s="99">
        <f t="shared" si="11"/>
        <v>5273000</v>
      </c>
    </row>
    <row r="235" spans="1:7" ht="15.75" thickBot="1" x14ac:dyDescent="0.3">
      <c r="A235" s="239"/>
      <c r="B235" s="262"/>
      <c r="C235" s="250"/>
      <c r="D235" s="7" t="s">
        <v>209</v>
      </c>
      <c r="E235" s="7">
        <v>190000</v>
      </c>
      <c r="F235" s="5" t="s">
        <v>17</v>
      </c>
      <c r="G235" s="99">
        <f t="shared" si="11"/>
        <v>5083000</v>
      </c>
    </row>
    <row r="236" spans="1:7" ht="15.75" thickBot="1" x14ac:dyDescent="0.3">
      <c r="A236" s="237">
        <v>45708</v>
      </c>
      <c r="B236" s="262"/>
      <c r="C236" s="250"/>
      <c r="D236" s="7" t="s">
        <v>210</v>
      </c>
      <c r="E236" s="7">
        <v>295000</v>
      </c>
      <c r="F236" s="5" t="s">
        <v>17</v>
      </c>
      <c r="G236" s="99">
        <f t="shared" si="11"/>
        <v>4788000</v>
      </c>
    </row>
    <row r="237" spans="1:7" ht="15.75" thickBot="1" x14ac:dyDescent="0.3">
      <c r="A237" s="238"/>
      <c r="B237" s="262"/>
      <c r="C237" s="250"/>
      <c r="D237" s="7" t="s">
        <v>211</v>
      </c>
      <c r="E237" s="7">
        <v>16000</v>
      </c>
      <c r="F237" s="5" t="s">
        <v>17</v>
      </c>
      <c r="G237" s="99">
        <f t="shared" si="11"/>
        <v>4772000</v>
      </c>
    </row>
    <row r="238" spans="1:7" ht="15.75" thickBot="1" x14ac:dyDescent="0.3">
      <c r="A238" s="238"/>
      <c r="B238" s="262"/>
      <c r="C238" s="250"/>
      <c r="D238" s="7" t="s">
        <v>137</v>
      </c>
      <c r="E238" s="7">
        <v>105000</v>
      </c>
      <c r="F238" s="5" t="s">
        <v>17</v>
      </c>
      <c r="G238" s="99">
        <f t="shared" si="11"/>
        <v>4667000</v>
      </c>
    </row>
    <row r="239" spans="1:7" ht="15.75" thickBot="1" x14ac:dyDescent="0.3">
      <c r="A239" s="238"/>
      <c r="B239" s="262"/>
      <c r="C239" s="250"/>
      <c r="D239" s="7" t="s">
        <v>20</v>
      </c>
      <c r="E239" s="7">
        <v>230000</v>
      </c>
      <c r="F239" s="5" t="s">
        <v>17</v>
      </c>
      <c r="G239" s="99">
        <f t="shared" si="11"/>
        <v>4437000</v>
      </c>
    </row>
    <row r="240" spans="1:7" ht="15.75" thickBot="1" x14ac:dyDescent="0.3">
      <c r="A240" s="238"/>
      <c r="B240" s="262"/>
      <c r="C240" s="250"/>
      <c r="D240" s="7" t="s">
        <v>208</v>
      </c>
      <c r="E240" s="7">
        <v>29500</v>
      </c>
      <c r="F240" s="5" t="s">
        <v>17</v>
      </c>
      <c r="G240" s="99">
        <f t="shared" si="11"/>
        <v>4407500</v>
      </c>
    </row>
    <row r="241" spans="1:7" ht="15.75" thickBot="1" x14ac:dyDescent="0.3">
      <c r="A241" s="238"/>
      <c r="B241" s="262"/>
      <c r="C241" s="250"/>
      <c r="D241" s="7" t="s">
        <v>212</v>
      </c>
      <c r="E241" s="7">
        <v>4000</v>
      </c>
      <c r="F241" s="5" t="s">
        <v>17</v>
      </c>
      <c r="G241" s="99">
        <f t="shared" si="11"/>
        <v>4403500</v>
      </c>
    </row>
    <row r="242" spans="1:7" ht="15.75" thickBot="1" x14ac:dyDescent="0.3">
      <c r="A242" s="239"/>
      <c r="B242" s="262"/>
      <c r="C242" s="250"/>
      <c r="D242" s="7" t="s">
        <v>213</v>
      </c>
      <c r="E242" s="7">
        <v>44000</v>
      </c>
      <c r="F242" s="7" t="s">
        <v>17</v>
      </c>
      <c r="G242" s="99">
        <f t="shared" si="11"/>
        <v>4359500</v>
      </c>
    </row>
    <row r="243" spans="1:7" ht="15.75" thickBot="1" x14ac:dyDescent="0.3">
      <c r="A243" s="237">
        <v>45709</v>
      </c>
      <c r="B243" s="262"/>
      <c r="C243" s="249" t="s">
        <v>184</v>
      </c>
      <c r="D243" s="5" t="s">
        <v>89</v>
      </c>
      <c r="E243" s="5">
        <v>247700</v>
      </c>
      <c r="F243" s="5" t="s">
        <v>17</v>
      </c>
      <c r="G243" s="99">
        <f t="shared" si="11"/>
        <v>4111800</v>
      </c>
    </row>
    <row r="244" spans="1:7" ht="15.75" thickBot="1" x14ac:dyDescent="0.3">
      <c r="A244" s="238"/>
      <c r="B244" s="262"/>
      <c r="C244" s="250"/>
      <c r="D244" s="7" t="s">
        <v>137</v>
      </c>
      <c r="E244" s="7">
        <v>75000</v>
      </c>
      <c r="F244" s="101" t="s">
        <v>17</v>
      </c>
      <c r="G244" s="99">
        <f t="shared" si="11"/>
        <v>4036800</v>
      </c>
    </row>
    <row r="245" spans="1:7" ht="15.75" thickBot="1" x14ac:dyDescent="0.3">
      <c r="A245" s="238"/>
      <c r="B245" s="262"/>
      <c r="C245" s="250"/>
      <c r="D245" s="7" t="s">
        <v>214</v>
      </c>
      <c r="E245" s="7">
        <v>5000</v>
      </c>
      <c r="F245" s="101" t="s">
        <v>17</v>
      </c>
      <c r="G245" s="99">
        <f t="shared" si="11"/>
        <v>4031800</v>
      </c>
    </row>
    <row r="246" spans="1:7" ht="15.75" thickBot="1" x14ac:dyDescent="0.3">
      <c r="A246" s="238"/>
      <c r="B246" s="262"/>
      <c r="C246" s="250"/>
      <c r="D246" s="7" t="s">
        <v>215</v>
      </c>
      <c r="E246" s="7">
        <v>150000</v>
      </c>
      <c r="F246" s="101" t="s">
        <v>17</v>
      </c>
      <c r="G246" s="99">
        <f t="shared" ref="G246:G249" si="12">G245-E246</f>
        <v>3881800</v>
      </c>
    </row>
    <row r="247" spans="1:7" ht="15.75" thickBot="1" x14ac:dyDescent="0.3">
      <c r="A247" s="239"/>
      <c r="B247" s="262"/>
      <c r="C247" s="250"/>
      <c r="D247" s="7" t="s">
        <v>86</v>
      </c>
      <c r="E247" s="7">
        <v>6000</v>
      </c>
      <c r="F247" s="101" t="s">
        <v>17</v>
      </c>
      <c r="G247" s="99">
        <f t="shared" si="12"/>
        <v>3875800</v>
      </c>
    </row>
    <row r="248" spans="1:7" ht="15.75" thickBot="1" x14ac:dyDescent="0.3">
      <c r="A248" s="15">
        <v>45709</v>
      </c>
      <c r="B248" s="262"/>
      <c r="C248" s="250"/>
      <c r="D248" s="7" t="s">
        <v>216</v>
      </c>
      <c r="E248" s="7">
        <v>98000</v>
      </c>
      <c r="F248" s="101" t="s">
        <v>17</v>
      </c>
      <c r="G248" s="99">
        <f t="shared" si="12"/>
        <v>3777800</v>
      </c>
    </row>
    <row r="249" spans="1:7" ht="15.75" thickBot="1" x14ac:dyDescent="0.3">
      <c r="A249" s="15">
        <v>45711</v>
      </c>
      <c r="B249" s="262"/>
      <c r="C249" s="250"/>
      <c r="D249" s="7" t="s">
        <v>214</v>
      </c>
      <c r="E249" s="7">
        <v>10000</v>
      </c>
      <c r="F249" s="101" t="s">
        <v>17</v>
      </c>
      <c r="G249" s="99">
        <f t="shared" si="12"/>
        <v>3767800</v>
      </c>
    </row>
    <row r="250" spans="1:7" ht="15.75" thickBot="1" x14ac:dyDescent="0.3">
      <c r="A250" s="15">
        <v>45712</v>
      </c>
      <c r="B250" s="262"/>
      <c r="C250" s="251"/>
      <c r="D250" s="5" t="s">
        <v>217</v>
      </c>
      <c r="E250" s="5" t="s">
        <v>17</v>
      </c>
      <c r="F250" s="5">
        <v>780000</v>
      </c>
      <c r="G250" s="5">
        <f>G249+F250</f>
        <v>4547800</v>
      </c>
    </row>
    <row r="251" spans="1:7" ht="15.75" thickBot="1" x14ac:dyDescent="0.3">
      <c r="A251" s="105">
        <v>45700</v>
      </c>
      <c r="B251" s="262"/>
      <c r="C251" s="298" t="s">
        <v>218</v>
      </c>
      <c r="D251" s="101" t="s">
        <v>5</v>
      </c>
      <c r="E251" s="101" t="s">
        <v>17</v>
      </c>
      <c r="F251" s="101">
        <v>1122000</v>
      </c>
      <c r="G251" s="5">
        <f>G250+F251</f>
        <v>5669800</v>
      </c>
    </row>
    <row r="252" spans="1:7" ht="15.75" thickBot="1" x14ac:dyDescent="0.3">
      <c r="A252" s="240">
        <v>45706</v>
      </c>
      <c r="B252" s="262"/>
      <c r="C252" s="299"/>
      <c r="D252" s="7" t="s">
        <v>219</v>
      </c>
      <c r="E252" s="7">
        <v>450000</v>
      </c>
      <c r="F252" s="7" t="s">
        <v>17</v>
      </c>
      <c r="G252" s="99">
        <f t="shared" ref="G252:G281" si="13">G251-E252</f>
        <v>5219800</v>
      </c>
    </row>
    <row r="253" spans="1:7" ht="15.75" thickBot="1" x14ac:dyDescent="0.3">
      <c r="A253" s="241"/>
      <c r="B253" s="262"/>
      <c r="C253" s="299"/>
      <c r="D253" s="7" t="s">
        <v>220</v>
      </c>
      <c r="E253" s="7">
        <v>45000</v>
      </c>
      <c r="F253" s="7" t="s">
        <v>17</v>
      </c>
      <c r="G253" s="99">
        <f t="shared" si="13"/>
        <v>5174800</v>
      </c>
    </row>
    <row r="254" spans="1:7" ht="15.75" thickBot="1" x14ac:dyDescent="0.3">
      <c r="A254" s="241"/>
      <c r="B254" s="262"/>
      <c r="C254" s="299"/>
      <c r="D254" s="7" t="s">
        <v>219</v>
      </c>
      <c r="E254" s="7">
        <v>465000</v>
      </c>
      <c r="F254" s="7" t="s">
        <v>17</v>
      </c>
      <c r="G254" s="99">
        <f t="shared" si="13"/>
        <v>4709800</v>
      </c>
    </row>
    <row r="255" spans="1:7" ht="15.75" thickBot="1" x14ac:dyDescent="0.3">
      <c r="A255" s="241"/>
      <c r="B255" s="262"/>
      <c r="C255" s="299"/>
      <c r="D255" s="7" t="s">
        <v>137</v>
      </c>
      <c r="E255" s="7">
        <v>162000</v>
      </c>
      <c r="F255" s="7" t="s">
        <v>17</v>
      </c>
      <c r="G255" s="99">
        <f t="shared" si="13"/>
        <v>4547800</v>
      </c>
    </row>
    <row r="256" spans="1:7" ht="15.75" thickBot="1" x14ac:dyDescent="0.3">
      <c r="A256" s="241"/>
      <c r="B256" s="262"/>
      <c r="C256" s="299"/>
      <c r="D256" s="7" t="s">
        <v>221</v>
      </c>
      <c r="E256" s="7">
        <v>36000</v>
      </c>
      <c r="F256" s="7" t="s">
        <v>17</v>
      </c>
      <c r="G256" s="99">
        <f t="shared" si="13"/>
        <v>4511800</v>
      </c>
    </row>
    <row r="257" spans="1:7" ht="15.75" thickBot="1" x14ac:dyDescent="0.3">
      <c r="A257" s="103"/>
      <c r="B257" s="262"/>
      <c r="C257" s="300"/>
      <c r="D257" s="5" t="s">
        <v>139</v>
      </c>
      <c r="E257" s="7">
        <v>4000</v>
      </c>
      <c r="F257" s="7"/>
      <c r="G257" s="99">
        <f t="shared" si="13"/>
        <v>4507800</v>
      </c>
    </row>
    <row r="258" spans="1:7" ht="15.75" thickBot="1" x14ac:dyDescent="0.3">
      <c r="A258" s="105">
        <v>45700</v>
      </c>
      <c r="B258" s="262"/>
      <c r="C258" s="298" t="s">
        <v>222</v>
      </c>
      <c r="D258" s="5" t="s">
        <v>5</v>
      </c>
      <c r="E258" s="5" t="s">
        <v>17</v>
      </c>
      <c r="F258" s="5">
        <v>2578000</v>
      </c>
      <c r="G258" s="5">
        <f>G257+F258</f>
        <v>7085800</v>
      </c>
    </row>
    <row r="259" spans="1:7" ht="15.75" thickBot="1" x14ac:dyDescent="0.3">
      <c r="A259" s="240">
        <v>45706</v>
      </c>
      <c r="B259" s="262"/>
      <c r="C259" s="299"/>
      <c r="D259" s="5" t="s">
        <v>89</v>
      </c>
      <c r="E259" s="5">
        <v>206000</v>
      </c>
      <c r="F259" s="5" t="s">
        <v>17</v>
      </c>
      <c r="G259" s="99">
        <f t="shared" si="13"/>
        <v>6879800</v>
      </c>
    </row>
    <row r="260" spans="1:7" ht="15.75" thickBot="1" x14ac:dyDescent="0.3">
      <c r="A260" s="241"/>
      <c r="B260" s="262"/>
      <c r="C260" s="299"/>
      <c r="D260" s="7" t="s">
        <v>223</v>
      </c>
      <c r="E260" s="7">
        <v>567000</v>
      </c>
      <c r="F260" s="7" t="s">
        <v>17</v>
      </c>
      <c r="G260" s="99">
        <f t="shared" si="13"/>
        <v>6312800</v>
      </c>
    </row>
    <row r="261" spans="1:7" ht="15.75" thickBot="1" x14ac:dyDescent="0.3">
      <c r="A261" s="241"/>
      <c r="B261" s="262"/>
      <c r="C261" s="299"/>
      <c r="D261" s="7" t="s">
        <v>224</v>
      </c>
      <c r="E261" s="7">
        <v>960000</v>
      </c>
      <c r="F261" s="7" t="s">
        <v>17</v>
      </c>
      <c r="G261" s="99">
        <f t="shared" si="13"/>
        <v>5352800</v>
      </c>
    </row>
    <row r="262" spans="1:7" ht="15.75" thickBot="1" x14ac:dyDescent="0.3">
      <c r="A262" s="241"/>
      <c r="B262" s="262"/>
      <c r="C262" s="299"/>
      <c r="D262" s="7" t="s">
        <v>137</v>
      </c>
      <c r="E262" s="7">
        <v>324000</v>
      </c>
      <c r="F262" s="7" t="s">
        <v>17</v>
      </c>
      <c r="G262" s="99">
        <f t="shared" si="13"/>
        <v>5028800</v>
      </c>
    </row>
    <row r="263" spans="1:7" ht="15.75" thickBot="1" x14ac:dyDescent="0.3">
      <c r="A263" s="242"/>
      <c r="B263" s="262"/>
      <c r="C263" s="299"/>
      <c r="D263" s="7" t="s">
        <v>225</v>
      </c>
      <c r="E263" s="7">
        <v>15000</v>
      </c>
      <c r="F263" s="7" t="s">
        <v>17</v>
      </c>
      <c r="G263" s="99">
        <f t="shared" si="13"/>
        <v>5013800</v>
      </c>
    </row>
    <row r="264" spans="1:7" ht="15.75" thickBot="1" x14ac:dyDescent="0.3">
      <c r="A264" s="240">
        <v>45709</v>
      </c>
      <c r="B264" s="262"/>
      <c r="C264" s="299"/>
      <c r="D264" s="7" t="s">
        <v>226</v>
      </c>
      <c r="E264" s="7">
        <v>14000</v>
      </c>
      <c r="F264" s="7" t="s">
        <v>17</v>
      </c>
      <c r="G264" s="99">
        <f t="shared" si="13"/>
        <v>4999800</v>
      </c>
    </row>
    <row r="265" spans="1:7" ht="15.75" thickBot="1" x14ac:dyDescent="0.3">
      <c r="A265" s="242"/>
      <c r="B265" s="262"/>
      <c r="C265" s="299"/>
      <c r="D265" s="7" t="s">
        <v>227</v>
      </c>
      <c r="E265" s="7">
        <v>60000</v>
      </c>
      <c r="F265" s="7" t="s">
        <v>17</v>
      </c>
      <c r="G265" s="99">
        <f t="shared" si="13"/>
        <v>4939800</v>
      </c>
    </row>
    <row r="266" spans="1:7" ht="15.75" thickBot="1" x14ac:dyDescent="0.3">
      <c r="A266" s="105">
        <v>45710</v>
      </c>
      <c r="B266" s="262"/>
      <c r="C266" s="299"/>
      <c r="D266" s="7" t="s">
        <v>227</v>
      </c>
      <c r="E266" s="7">
        <v>25000</v>
      </c>
      <c r="F266" s="7" t="s">
        <v>17</v>
      </c>
      <c r="G266" s="99">
        <f t="shared" si="13"/>
        <v>4914800</v>
      </c>
    </row>
    <row r="267" spans="1:7" ht="15.75" thickBot="1" x14ac:dyDescent="0.3">
      <c r="A267" s="240">
        <v>45713</v>
      </c>
      <c r="B267" s="262"/>
      <c r="C267" s="299"/>
      <c r="D267" s="7" t="s">
        <v>228</v>
      </c>
      <c r="E267" s="7">
        <v>30000</v>
      </c>
      <c r="F267" s="7" t="s">
        <v>17</v>
      </c>
      <c r="G267" s="99">
        <f t="shared" si="13"/>
        <v>4884800</v>
      </c>
    </row>
    <row r="268" spans="1:7" ht="15.75" thickBot="1" x14ac:dyDescent="0.3">
      <c r="A268" s="242"/>
      <c r="B268" s="262"/>
      <c r="C268" s="300"/>
      <c r="D268" s="7" t="s">
        <v>229</v>
      </c>
      <c r="E268" s="7">
        <v>7000</v>
      </c>
      <c r="F268" s="7" t="s">
        <v>17</v>
      </c>
      <c r="G268" s="99">
        <f t="shared" si="13"/>
        <v>4877800</v>
      </c>
    </row>
    <row r="269" spans="1:7" ht="15.75" customHeight="1" thickBot="1" x14ac:dyDescent="0.3">
      <c r="A269" s="237">
        <v>45709</v>
      </c>
      <c r="B269" s="262"/>
      <c r="C269" s="298" t="s">
        <v>185</v>
      </c>
      <c r="D269" s="5" t="s">
        <v>230</v>
      </c>
      <c r="E269" s="5">
        <v>26000</v>
      </c>
      <c r="F269" s="5" t="s">
        <v>17</v>
      </c>
      <c r="G269" s="99">
        <f t="shared" si="13"/>
        <v>4851800</v>
      </c>
    </row>
    <row r="270" spans="1:7" ht="15.75" thickBot="1" x14ac:dyDescent="0.3">
      <c r="A270" s="238"/>
      <c r="B270" s="262"/>
      <c r="C270" s="299"/>
      <c r="D270" s="7" t="s">
        <v>231</v>
      </c>
      <c r="E270" s="7">
        <v>67500</v>
      </c>
      <c r="F270" s="101" t="s">
        <v>17</v>
      </c>
      <c r="G270" s="99">
        <f t="shared" si="13"/>
        <v>4784300</v>
      </c>
    </row>
    <row r="271" spans="1:7" ht="15.75" thickBot="1" x14ac:dyDescent="0.3">
      <c r="A271" s="238"/>
      <c r="B271" s="262"/>
      <c r="C271" s="299"/>
      <c r="D271" s="7" t="s">
        <v>232</v>
      </c>
      <c r="E271" s="7">
        <v>36000</v>
      </c>
      <c r="F271" s="101" t="s">
        <v>17</v>
      </c>
      <c r="G271" s="99">
        <f t="shared" si="13"/>
        <v>4748300</v>
      </c>
    </row>
    <row r="272" spans="1:7" ht="15.75" thickBot="1" x14ac:dyDescent="0.3">
      <c r="A272" s="238"/>
      <c r="B272" s="262"/>
      <c r="C272" s="299"/>
      <c r="D272" s="7" t="s">
        <v>233</v>
      </c>
      <c r="E272" s="7">
        <v>60000</v>
      </c>
      <c r="F272" s="101" t="s">
        <v>17</v>
      </c>
      <c r="G272" s="99">
        <f t="shared" si="13"/>
        <v>4688300</v>
      </c>
    </row>
    <row r="273" spans="1:8" ht="15.75" thickBot="1" x14ac:dyDescent="0.3">
      <c r="A273" s="238"/>
      <c r="B273" s="262"/>
      <c r="C273" s="299"/>
      <c r="D273" s="7" t="s">
        <v>234</v>
      </c>
      <c r="E273" s="7">
        <v>240000</v>
      </c>
      <c r="F273" s="101" t="s">
        <v>17</v>
      </c>
      <c r="G273" s="99">
        <f t="shared" si="13"/>
        <v>4448300</v>
      </c>
    </row>
    <row r="274" spans="1:8" ht="15.75" thickBot="1" x14ac:dyDescent="0.3">
      <c r="A274" s="238"/>
      <c r="B274" s="262"/>
      <c r="C274" s="299"/>
      <c r="D274" s="7" t="s">
        <v>235</v>
      </c>
      <c r="E274" s="7">
        <v>15000</v>
      </c>
      <c r="F274" s="101" t="s">
        <v>17</v>
      </c>
      <c r="G274" s="99">
        <f t="shared" si="13"/>
        <v>4433300</v>
      </c>
    </row>
    <row r="275" spans="1:8" ht="15.75" thickBot="1" x14ac:dyDescent="0.3">
      <c r="A275" s="238"/>
      <c r="B275" s="262"/>
      <c r="C275" s="299"/>
      <c r="D275" s="7" t="s">
        <v>236</v>
      </c>
      <c r="E275" s="7">
        <v>12000</v>
      </c>
      <c r="F275" s="101" t="s">
        <v>17</v>
      </c>
      <c r="G275" s="99">
        <f t="shared" si="13"/>
        <v>4421300</v>
      </c>
    </row>
    <row r="276" spans="1:8" ht="15.75" thickBot="1" x14ac:dyDescent="0.3">
      <c r="A276" s="238"/>
      <c r="B276" s="262"/>
      <c r="C276" s="299"/>
      <c r="D276" s="7" t="s">
        <v>237</v>
      </c>
      <c r="E276" s="7">
        <v>50000</v>
      </c>
      <c r="F276" s="101" t="s">
        <v>17</v>
      </c>
      <c r="G276" s="99">
        <f t="shared" si="13"/>
        <v>4371300</v>
      </c>
    </row>
    <row r="277" spans="1:8" ht="15.75" thickBot="1" x14ac:dyDescent="0.3">
      <c r="A277" s="239"/>
      <c r="B277" s="262"/>
      <c r="C277" s="299"/>
      <c r="D277" s="7" t="s">
        <v>238</v>
      </c>
      <c r="E277" s="7">
        <v>16000</v>
      </c>
      <c r="F277" s="106" t="s">
        <v>17</v>
      </c>
      <c r="G277" s="99">
        <f t="shared" si="13"/>
        <v>4355300</v>
      </c>
    </row>
    <row r="278" spans="1:8" ht="15.75" thickBot="1" x14ac:dyDescent="0.3">
      <c r="A278" s="128"/>
      <c r="B278" s="262"/>
      <c r="C278" s="300"/>
      <c r="D278" s="7" t="s">
        <v>279</v>
      </c>
      <c r="E278" s="7">
        <v>27000</v>
      </c>
      <c r="F278" s="5"/>
      <c r="G278" s="99">
        <f t="shared" si="13"/>
        <v>4328300</v>
      </c>
    </row>
    <row r="279" spans="1:8" ht="15.75" thickBot="1" x14ac:dyDescent="0.3">
      <c r="A279" s="240">
        <v>45662</v>
      </c>
      <c r="B279" s="262"/>
      <c r="C279" s="243" t="s">
        <v>239</v>
      </c>
      <c r="D279" s="107" t="s">
        <v>240</v>
      </c>
      <c r="E279" s="5">
        <v>113000</v>
      </c>
      <c r="F279" s="5" t="s">
        <v>17</v>
      </c>
      <c r="G279" s="99">
        <f t="shared" si="13"/>
        <v>4215300</v>
      </c>
    </row>
    <row r="280" spans="1:8" ht="15.75" thickBot="1" x14ac:dyDescent="0.3">
      <c r="A280" s="241"/>
      <c r="B280" s="262"/>
      <c r="C280" s="244"/>
      <c r="D280" s="102" t="s">
        <v>241</v>
      </c>
      <c r="E280" s="7">
        <v>60000</v>
      </c>
      <c r="F280" s="101" t="s">
        <v>17</v>
      </c>
      <c r="G280" s="99">
        <f t="shared" si="13"/>
        <v>4155300</v>
      </c>
    </row>
    <row r="281" spans="1:8" ht="15.75" thickBot="1" x14ac:dyDescent="0.3">
      <c r="A281" s="242"/>
      <c r="B281" s="262"/>
      <c r="C281" s="244"/>
      <c r="D281" s="108" t="s">
        <v>242</v>
      </c>
      <c r="E281" s="61">
        <v>2000</v>
      </c>
      <c r="F281" s="101" t="s">
        <v>17</v>
      </c>
      <c r="G281" s="99">
        <f t="shared" si="13"/>
        <v>4153300</v>
      </c>
      <c r="H281" s="50"/>
    </row>
    <row r="282" spans="1:8" ht="15.75" thickBot="1" x14ac:dyDescent="0.3">
      <c r="A282" s="15">
        <v>45712</v>
      </c>
      <c r="B282" s="286"/>
      <c r="C282" s="245"/>
      <c r="D282" s="24" t="s">
        <v>217</v>
      </c>
      <c r="E282" s="5" t="s">
        <v>17</v>
      </c>
      <c r="F282" s="101">
        <v>250000</v>
      </c>
      <c r="G282" s="5">
        <f>G281+F282</f>
        <v>4403300</v>
      </c>
    </row>
    <row r="283" spans="1:8" ht="15.75" customHeight="1" thickBot="1" x14ac:dyDescent="0.3">
      <c r="A283" s="125">
        <v>45703</v>
      </c>
      <c r="B283" s="261" t="s">
        <v>259</v>
      </c>
      <c r="C283" s="249" t="s">
        <v>260</v>
      </c>
      <c r="D283" s="33" t="s">
        <v>217</v>
      </c>
      <c r="E283" s="2" t="s">
        <v>17</v>
      </c>
      <c r="F283" s="2">
        <v>1200000</v>
      </c>
      <c r="G283" s="126">
        <f>G282+F283</f>
        <v>5603300</v>
      </c>
    </row>
    <row r="284" spans="1:8" ht="15.75" thickBot="1" x14ac:dyDescent="0.3">
      <c r="A284" s="240">
        <v>45715</v>
      </c>
      <c r="B284" s="262"/>
      <c r="C284" s="250"/>
      <c r="D284" s="33" t="s">
        <v>261</v>
      </c>
      <c r="E284" s="2">
        <v>175000</v>
      </c>
      <c r="F284" s="2" t="s">
        <v>17</v>
      </c>
      <c r="G284" s="127">
        <f t="shared" ref="G284:G303" si="14">G283-E284</f>
        <v>5428300</v>
      </c>
    </row>
    <row r="285" spans="1:8" ht="15.75" thickBot="1" x14ac:dyDescent="0.3">
      <c r="A285" s="241"/>
      <c r="B285" s="262"/>
      <c r="C285" s="250"/>
      <c r="D285" s="33" t="s">
        <v>137</v>
      </c>
      <c r="E285" s="2">
        <v>150000</v>
      </c>
      <c r="F285" s="2" t="s">
        <v>17</v>
      </c>
      <c r="G285" s="127">
        <f t="shared" si="14"/>
        <v>5278300</v>
      </c>
    </row>
    <row r="286" spans="1:8" ht="15.75" thickBot="1" x14ac:dyDescent="0.3">
      <c r="A286" s="241"/>
      <c r="B286" s="262"/>
      <c r="C286" s="250"/>
      <c r="D286" s="33" t="s">
        <v>119</v>
      </c>
      <c r="E286" s="2">
        <v>460000</v>
      </c>
      <c r="F286" s="2" t="s">
        <v>17</v>
      </c>
      <c r="G286" s="127">
        <f t="shared" si="14"/>
        <v>4818300</v>
      </c>
    </row>
    <row r="287" spans="1:8" ht="15.75" thickBot="1" x14ac:dyDescent="0.3">
      <c r="A287" s="241"/>
      <c r="B287" s="262"/>
      <c r="C287" s="250"/>
      <c r="D287" s="33" t="s">
        <v>208</v>
      </c>
      <c r="E287" s="2">
        <v>35000</v>
      </c>
      <c r="F287" s="2" t="s">
        <v>17</v>
      </c>
      <c r="G287" s="127">
        <f t="shared" si="14"/>
        <v>4783300</v>
      </c>
    </row>
    <row r="288" spans="1:8" ht="15.75" thickBot="1" x14ac:dyDescent="0.3">
      <c r="A288" s="241"/>
      <c r="B288" s="262"/>
      <c r="C288" s="250"/>
      <c r="D288" s="33" t="s">
        <v>262</v>
      </c>
      <c r="E288" s="2">
        <v>80000</v>
      </c>
      <c r="F288" s="2" t="s">
        <v>17</v>
      </c>
      <c r="G288" s="127">
        <f t="shared" si="14"/>
        <v>4703300</v>
      </c>
    </row>
    <row r="289" spans="1:7" ht="15.75" thickBot="1" x14ac:dyDescent="0.3">
      <c r="A289" s="242"/>
      <c r="B289" s="262"/>
      <c r="C289" s="250"/>
      <c r="D289" s="33" t="s">
        <v>199</v>
      </c>
      <c r="E289" s="2">
        <v>50000</v>
      </c>
      <c r="F289" s="2" t="s">
        <v>17</v>
      </c>
      <c r="G289" s="127">
        <f t="shared" si="14"/>
        <v>4653300</v>
      </c>
    </row>
    <row r="290" spans="1:7" ht="15.75" thickBot="1" x14ac:dyDescent="0.3">
      <c r="A290" s="124">
        <v>45723</v>
      </c>
      <c r="B290" s="262"/>
      <c r="C290" s="251"/>
      <c r="D290" s="34" t="s">
        <v>263</v>
      </c>
      <c r="E290" s="17">
        <v>125000</v>
      </c>
      <c r="F290" s="17" t="s">
        <v>17</v>
      </c>
      <c r="G290" s="127">
        <f t="shared" si="14"/>
        <v>4528300</v>
      </c>
    </row>
    <row r="291" spans="1:7" ht="15.75" thickBot="1" x14ac:dyDescent="0.3">
      <c r="A291" s="125">
        <v>45712</v>
      </c>
      <c r="B291" s="262"/>
      <c r="C291" s="252" t="s">
        <v>264</v>
      </c>
      <c r="D291" s="33" t="s">
        <v>217</v>
      </c>
      <c r="E291" s="2" t="s">
        <v>17</v>
      </c>
      <c r="F291" s="2">
        <v>740000</v>
      </c>
      <c r="G291" s="126">
        <f>G290+F291</f>
        <v>5268300</v>
      </c>
    </row>
    <row r="292" spans="1:7" ht="15.75" thickBot="1" x14ac:dyDescent="0.3">
      <c r="A292" s="237">
        <v>45713</v>
      </c>
      <c r="B292" s="262"/>
      <c r="C292" s="253"/>
      <c r="D292" s="33" t="s">
        <v>89</v>
      </c>
      <c r="E292" s="2">
        <v>482500</v>
      </c>
      <c r="F292" s="2" t="s">
        <v>17</v>
      </c>
      <c r="G292" s="127">
        <f t="shared" si="14"/>
        <v>4785800</v>
      </c>
    </row>
    <row r="293" spans="1:7" ht="15.75" thickBot="1" x14ac:dyDescent="0.3">
      <c r="A293" s="238"/>
      <c r="B293" s="262"/>
      <c r="C293" s="253"/>
      <c r="D293" s="33" t="s">
        <v>265</v>
      </c>
      <c r="E293" s="2">
        <v>100000</v>
      </c>
      <c r="F293" s="2" t="s">
        <v>17</v>
      </c>
      <c r="G293" s="127">
        <f t="shared" si="14"/>
        <v>4685800</v>
      </c>
    </row>
    <row r="294" spans="1:7" ht="15.75" thickBot="1" x14ac:dyDescent="0.3">
      <c r="A294" s="238"/>
      <c r="B294" s="262"/>
      <c r="C294" s="253"/>
      <c r="D294" s="33" t="s">
        <v>137</v>
      </c>
      <c r="E294" s="2">
        <v>150000</v>
      </c>
      <c r="F294" s="2" t="s">
        <v>17</v>
      </c>
      <c r="G294" s="127">
        <f t="shared" si="14"/>
        <v>4535800</v>
      </c>
    </row>
    <row r="295" spans="1:7" ht="15.75" thickBot="1" x14ac:dyDescent="0.3">
      <c r="A295" s="239"/>
      <c r="B295" s="262"/>
      <c r="C295" s="253"/>
      <c r="D295" s="33" t="s">
        <v>266</v>
      </c>
      <c r="E295" s="2">
        <v>7500</v>
      </c>
      <c r="F295" s="2" t="s">
        <v>17</v>
      </c>
      <c r="G295" s="127">
        <f t="shared" si="14"/>
        <v>4528300</v>
      </c>
    </row>
    <row r="296" spans="1:7" ht="15.75" thickBot="1" x14ac:dyDescent="0.3">
      <c r="A296" s="15">
        <v>42061</v>
      </c>
      <c r="B296" s="262"/>
      <c r="C296" s="254"/>
      <c r="D296" s="34" t="s">
        <v>267</v>
      </c>
      <c r="E296" s="17">
        <v>35000</v>
      </c>
      <c r="F296" s="17" t="s">
        <v>17</v>
      </c>
      <c r="G296" s="127">
        <f t="shared" si="14"/>
        <v>4493300</v>
      </c>
    </row>
    <row r="297" spans="1:7" ht="15.75" thickBot="1" x14ac:dyDescent="0.3">
      <c r="A297" s="246">
        <v>45727</v>
      </c>
      <c r="B297" s="262"/>
      <c r="C297" s="255" t="s">
        <v>268</v>
      </c>
      <c r="D297" s="33" t="s">
        <v>269</v>
      </c>
      <c r="E297" s="2">
        <v>246000</v>
      </c>
      <c r="F297" s="2" t="s">
        <v>17</v>
      </c>
      <c r="G297" s="127">
        <f t="shared" si="14"/>
        <v>4247300</v>
      </c>
    </row>
    <row r="298" spans="1:7" ht="15.75" thickBot="1" x14ac:dyDescent="0.3">
      <c r="A298" s="247"/>
      <c r="B298" s="262"/>
      <c r="C298" s="256"/>
      <c r="D298" s="33" t="s">
        <v>270</v>
      </c>
      <c r="E298" s="2">
        <v>50000</v>
      </c>
      <c r="F298" s="2" t="s">
        <v>17</v>
      </c>
      <c r="G298" s="127">
        <f t="shared" si="14"/>
        <v>4197300</v>
      </c>
    </row>
    <row r="299" spans="1:7" ht="15.75" thickBot="1" x14ac:dyDescent="0.3">
      <c r="A299" s="247"/>
      <c r="B299" s="262"/>
      <c r="C299" s="256"/>
      <c r="D299" s="33" t="s">
        <v>271</v>
      </c>
      <c r="E299" s="2">
        <v>95000</v>
      </c>
      <c r="F299" s="2" t="s">
        <v>17</v>
      </c>
      <c r="G299" s="127">
        <f t="shared" si="14"/>
        <v>4102300</v>
      </c>
    </row>
    <row r="300" spans="1:7" ht="15.75" thickBot="1" x14ac:dyDescent="0.3">
      <c r="A300" s="247"/>
      <c r="B300" s="262"/>
      <c r="C300" s="256"/>
      <c r="D300" s="33" t="s">
        <v>272</v>
      </c>
      <c r="E300" s="2">
        <v>30000</v>
      </c>
      <c r="F300" s="2" t="s">
        <v>17</v>
      </c>
      <c r="G300" s="127">
        <f t="shared" si="14"/>
        <v>4072300</v>
      </c>
    </row>
    <row r="301" spans="1:7" ht="15.75" thickBot="1" x14ac:dyDescent="0.3">
      <c r="A301" s="247"/>
      <c r="B301" s="262"/>
      <c r="C301" s="256"/>
      <c r="D301" s="33" t="s">
        <v>273</v>
      </c>
      <c r="E301" s="2">
        <v>295000</v>
      </c>
      <c r="F301" s="2" t="s">
        <v>17</v>
      </c>
      <c r="G301" s="127">
        <f t="shared" si="14"/>
        <v>3777300</v>
      </c>
    </row>
    <row r="302" spans="1:7" ht="15.75" thickBot="1" x14ac:dyDescent="0.3">
      <c r="A302" s="247"/>
      <c r="B302" s="262"/>
      <c r="C302" s="256"/>
      <c r="D302" s="33" t="s">
        <v>274</v>
      </c>
      <c r="E302" s="2">
        <v>298500</v>
      </c>
      <c r="F302" s="2" t="s">
        <v>17</v>
      </c>
      <c r="G302" s="127">
        <f t="shared" si="14"/>
        <v>3478800</v>
      </c>
    </row>
    <row r="303" spans="1:7" ht="15.75" thickBot="1" x14ac:dyDescent="0.3">
      <c r="A303" s="248"/>
      <c r="B303" s="262"/>
      <c r="C303" s="256"/>
      <c r="D303" s="34" t="s">
        <v>142</v>
      </c>
      <c r="E303" s="17">
        <v>19000</v>
      </c>
      <c r="F303" s="17" t="s">
        <v>17</v>
      </c>
      <c r="G303" s="127">
        <f t="shared" si="14"/>
        <v>3459800</v>
      </c>
    </row>
    <row r="304" spans="1:7" ht="15.75" thickBot="1" x14ac:dyDescent="0.3">
      <c r="A304" s="124" t="s">
        <v>277</v>
      </c>
      <c r="B304" s="262"/>
      <c r="C304" s="257"/>
      <c r="D304" s="34" t="s">
        <v>217</v>
      </c>
      <c r="E304" s="17" t="s">
        <v>17</v>
      </c>
      <c r="F304" s="17">
        <v>1100000</v>
      </c>
      <c r="G304" s="126">
        <f>G303+F304</f>
        <v>4559800</v>
      </c>
    </row>
    <row r="305" spans="1:7" ht="15.75" thickBot="1" x14ac:dyDescent="0.3">
      <c r="A305" s="125">
        <v>45712</v>
      </c>
      <c r="B305" s="262"/>
      <c r="C305" s="258" t="s">
        <v>275</v>
      </c>
      <c r="D305" s="33" t="s">
        <v>5</v>
      </c>
      <c r="E305" s="2" t="s">
        <v>17</v>
      </c>
      <c r="F305" s="2">
        <v>720000</v>
      </c>
      <c r="G305" s="126">
        <f>G304+F305</f>
        <v>5279800</v>
      </c>
    </row>
    <row r="306" spans="1:7" ht="15.75" thickBot="1" x14ac:dyDescent="0.3">
      <c r="A306" s="125">
        <v>45713</v>
      </c>
      <c r="B306" s="262"/>
      <c r="C306" s="259"/>
      <c r="D306" s="33" t="s">
        <v>276</v>
      </c>
      <c r="E306" s="2">
        <v>141500</v>
      </c>
      <c r="F306" s="2" t="s">
        <v>17</v>
      </c>
      <c r="G306" s="127">
        <f t="shared" ref="G306:G312" si="15">G305-E306</f>
        <v>5138300</v>
      </c>
    </row>
    <row r="307" spans="1:7" ht="15.75" thickBot="1" x14ac:dyDescent="0.3">
      <c r="A307" s="237">
        <v>45723</v>
      </c>
      <c r="B307" s="262"/>
      <c r="C307" s="259"/>
      <c r="D307" s="33" t="s">
        <v>89</v>
      </c>
      <c r="E307" s="2">
        <v>373500</v>
      </c>
      <c r="F307" s="2" t="s">
        <v>17</v>
      </c>
      <c r="G307" s="127">
        <f t="shared" si="15"/>
        <v>4764800</v>
      </c>
    </row>
    <row r="308" spans="1:7" ht="15.75" thickBot="1" x14ac:dyDescent="0.3">
      <c r="A308" s="238"/>
      <c r="B308" s="262"/>
      <c r="C308" s="259"/>
      <c r="D308" s="33" t="s">
        <v>48</v>
      </c>
      <c r="E308" s="2">
        <v>24000</v>
      </c>
      <c r="F308" s="2" t="s">
        <v>17</v>
      </c>
      <c r="G308" s="127">
        <f t="shared" si="15"/>
        <v>4740800</v>
      </c>
    </row>
    <row r="309" spans="1:7" ht="15.75" thickBot="1" x14ac:dyDescent="0.3">
      <c r="A309" s="238"/>
      <c r="B309" s="262"/>
      <c r="C309" s="259"/>
      <c r="D309" s="33" t="s">
        <v>199</v>
      </c>
      <c r="E309" s="2">
        <v>20000</v>
      </c>
      <c r="F309" s="2" t="s">
        <v>17</v>
      </c>
      <c r="G309" s="127">
        <f t="shared" si="15"/>
        <v>4720800</v>
      </c>
    </row>
    <row r="310" spans="1:7" ht="15.75" thickBot="1" x14ac:dyDescent="0.3">
      <c r="A310" s="239"/>
      <c r="B310" s="262"/>
      <c r="C310" s="259"/>
      <c r="D310" s="33" t="s">
        <v>86</v>
      </c>
      <c r="E310" s="2">
        <v>2500</v>
      </c>
      <c r="F310" s="2" t="s">
        <v>17</v>
      </c>
      <c r="G310" s="127">
        <f t="shared" si="15"/>
        <v>4718300</v>
      </c>
    </row>
    <row r="311" spans="1:7" ht="15.75" thickBot="1" x14ac:dyDescent="0.3">
      <c r="A311" s="237">
        <v>45727</v>
      </c>
      <c r="B311" s="262"/>
      <c r="C311" s="259"/>
      <c r="D311" s="33" t="s">
        <v>89</v>
      </c>
      <c r="E311" s="2">
        <v>137500</v>
      </c>
      <c r="F311" s="2" t="s">
        <v>17</v>
      </c>
      <c r="G311" s="127">
        <f t="shared" si="15"/>
        <v>4580800</v>
      </c>
    </row>
    <row r="312" spans="1:7" ht="15.75" thickBot="1" x14ac:dyDescent="0.3">
      <c r="A312" s="239"/>
      <c r="B312" s="262"/>
      <c r="C312" s="260"/>
      <c r="D312" s="2" t="s">
        <v>199</v>
      </c>
      <c r="E312" s="2">
        <v>5000</v>
      </c>
      <c r="F312" s="2" t="s">
        <v>17</v>
      </c>
      <c r="G312" s="127">
        <f t="shared" si="15"/>
        <v>4575800</v>
      </c>
    </row>
  </sheetData>
  <mergeCells count="108">
    <mergeCell ref="A243:A247"/>
    <mergeCell ref="C243:C250"/>
    <mergeCell ref="C251:C257"/>
    <mergeCell ref="A252:A256"/>
    <mergeCell ref="C258:C268"/>
    <mergeCell ref="A259:A263"/>
    <mergeCell ref="A264:A265"/>
    <mergeCell ref="A267:A268"/>
    <mergeCell ref="B182:B282"/>
    <mergeCell ref="C203:C226"/>
    <mergeCell ref="A204:A206"/>
    <mergeCell ref="A207:A224"/>
    <mergeCell ref="A225:A226"/>
    <mergeCell ref="C227:C242"/>
    <mergeCell ref="A231:A235"/>
    <mergeCell ref="A236:A242"/>
    <mergeCell ref="C183:C190"/>
    <mergeCell ref="A184:A186"/>
    <mergeCell ref="A187:A188"/>
    <mergeCell ref="A189:A190"/>
    <mergeCell ref="C191:C202"/>
    <mergeCell ref="A192:A199"/>
    <mergeCell ref="A200:A202"/>
    <mergeCell ref="C269:C278"/>
    <mergeCell ref="C174:C179"/>
    <mergeCell ref="A175:A178"/>
    <mergeCell ref="C180:C181"/>
    <mergeCell ref="A150:A154"/>
    <mergeCell ref="C164:C167"/>
    <mergeCell ref="A165:A167"/>
    <mergeCell ref="C168:C173"/>
    <mergeCell ref="A169:A171"/>
    <mergeCell ref="A172:A173"/>
    <mergeCell ref="C150:C155"/>
    <mergeCell ref="A156:A158"/>
    <mergeCell ref="C156:C163"/>
    <mergeCell ref="A159:A160"/>
    <mergeCell ref="A161:A162"/>
    <mergeCell ref="B134:B181"/>
    <mergeCell ref="A100:A101"/>
    <mergeCell ref="A66:A72"/>
    <mergeCell ref="A73:A76"/>
    <mergeCell ref="A113:A114"/>
    <mergeCell ref="C134:C135"/>
    <mergeCell ref="A136:A137"/>
    <mergeCell ref="C136:C149"/>
    <mergeCell ref="A139:A141"/>
    <mergeCell ref="A142:A146"/>
    <mergeCell ref="A147:A148"/>
    <mergeCell ref="A115:A116"/>
    <mergeCell ref="A110:A111"/>
    <mergeCell ref="A96:A99"/>
    <mergeCell ref="C65:C76"/>
    <mergeCell ref="D1:D2"/>
    <mergeCell ref="A128:A130"/>
    <mergeCell ref="A132:A133"/>
    <mergeCell ref="C117:C133"/>
    <mergeCell ref="A1:A2"/>
    <mergeCell ref="C1:C2"/>
    <mergeCell ref="A102:A103"/>
    <mergeCell ref="A104:A107"/>
    <mergeCell ref="C95:C107"/>
    <mergeCell ref="A118:A120"/>
    <mergeCell ref="A123:A127"/>
    <mergeCell ref="A22:A23"/>
    <mergeCell ref="C20:C26"/>
    <mergeCell ref="C108:C116"/>
    <mergeCell ref="C77:C85"/>
    <mergeCell ref="C86:C94"/>
    <mergeCell ref="B1:B2"/>
    <mergeCell ref="B3:B26"/>
    <mergeCell ref="B95:B133"/>
    <mergeCell ref="A29:A35"/>
    <mergeCell ref="A5:A6"/>
    <mergeCell ref="A7:A9"/>
    <mergeCell ref="A10:A19"/>
    <mergeCell ref="A63:A64"/>
    <mergeCell ref="C3:C19"/>
    <mergeCell ref="A20:A21"/>
    <mergeCell ref="A37:A38"/>
    <mergeCell ref="C37:C43"/>
    <mergeCell ref="A39:A43"/>
    <mergeCell ref="B27:B94"/>
    <mergeCell ref="C27:C36"/>
    <mergeCell ref="A55:A59"/>
    <mergeCell ref="A60:A61"/>
    <mergeCell ref="C44:C45"/>
    <mergeCell ref="A78:A84"/>
    <mergeCell ref="A87:A88"/>
    <mergeCell ref="A89:A90"/>
    <mergeCell ref="A92:A94"/>
    <mergeCell ref="C46:C53"/>
    <mergeCell ref="A47:A53"/>
    <mergeCell ref="C62:C64"/>
    <mergeCell ref="C54:C61"/>
    <mergeCell ref="A269:A277"/>
    <mergeCell ref="A279:A281"/>
    <mergeCell ref="C279:C282"/>
    <mergeCell ref="A284:A289"/>
    <mergeCell ref="A292:A295"/>
    <mergeCell ref="A297:A303"/>
    <mergeCell ref="A307:A310"/>
    <mergeCell ref="A311:A312"/>
    <mergeCell ref="C283:C290"/>
    <mergeCell ref="C291:C296"/>
    <mergeCell ref="C297:C304"/>
    <mergeCell ref="C305:C312"/>
    <mergeCell ref="B283:B312"/>
  </mergeCells>
  <pageMargins left="0.70866141732283472" right="0.70866141732283472" top="0.74803149606299213" bottom="0.74803149606299213" header="0.31496062992125984" footer="0.31496062992125984"/>
  <pageSetup paperSize="9" scale="94" fitToWidth="0" orientation="portrait" horizontalDpi="0" verticalDpi="0" r:id="rId1"/>
  <rowBreaks count="5" manualBreakCount="5">
    <brk id="26" max="6" man="1"/>
    <brk id="61" max="6" man="1"/>
    <brk id="94" max="6" man="1"/>
    <brk id="133" max="6" man="1"/>
    <brk id="163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40"/>
  <sheetViews>
    <sheetView zoomScale="115" zoomScaleNormal="115" workbookViewId="0">
      <selection activeCell="D14" sqref="D14"/>
    </sheetView>
  </sheetViews>
  <sheetFormatPr defaultRowHeight="15" x14ac:dyDescent="0.25"/>
  <cols>
    <col min="1" max="1" width="5" customWidth="1"/>
    <col min="2" max="2" width="31.140625" customWidth="1"/>
    <col min="3" max="3" width="18.5703125" customWidth="1"/>
    <col min="4" max="4" width="18.7109375" customWidth="1"/>
    <col min="5" max="5" width="23.42578125" customWidth="1"/>
    <col min="6" max="6" width="17" customWidth="1"/>
    <col min="8" max="8" width="13.42578125" customWidth="1"/>
  </cols>
  <sheetData>
    <row r="1" spans="1:8" ht="20.100000000000001" customHeight="1" x14ac:dyDescent="0.25">
      <c r="A1" s="119" t="s">
        <v>68</v>
      </c>
      <c r="B1" s="119" t="s">
        <v>152</v>
      </c>
      <c r="C1" s="119" t="s">
        <v>250</v>
      </c>
      <c r="D1" s="119" t="s">
        <v>251</v>
      </c>
      <c r="E1" s="119" t="s">
        <v>252</v>
      </c>
      <c r="F1" s="119" t="s">
        <v>253</v>
      </c>
      <c r="H1" s="130" t="s">
        <v>286</v>
      </c>
    </row>
    <row r="2" spans="1:8" ht="20.100000000000001" customHeight="1" x14ac:dyDescent="0.25">
      <c r="A2" s="111">
        <v>1</v>
      </c>
      <c r="B2" s="112" t="s">
        <v>255</v>
      </c>
      <c r="C2" s="113">
        <v>500000</v>
      </c>
      <c r="D2" s="113">
        <v>500000</v>
      </c>
      <c r="E2" s="113">
        <f>C2-D2</f>
        <v>0</v>
      </c>
      <c r="F2" s="114" t="s">
        <v>285</v>
      </c>
      <c r="H2" s="131" t="s">
        <v>285</v>
      </c>
    </row>
    <row r="3" spans="1:8" ht="20.100000000000001" customHeight="1" x14ac:dyDescent="0.25">
      <c r="A3" s="111">
        <v>2</v>
      </c>
      <c r="B3" s="115" t="s">
        <v>249</v>
      </c>
      <c r="C3" s="116">
        <v>1200000</v>
      </c>
      <c r="D3" s="116">
        <v>1033500</v>
      </c>
      <c r="E3" s="116">
        <f>C3-D3</f>
        <v>166500</v>
      </c>
      <c r="F3" s="117" t="s">
        <v>285</v>
      </c>
      <c r="H3" s="132" t="s">
        <v>311</v>
      </c>
    </row>
    <row r="4" spans="1:8" ht="20.100000000000001" customHeight="1" x14ac:dyDescent="0.25">
      <c r="A4" s="111">
        <v>3</v>
      </c>
      <c r="B4" s="118" t="s">
        <v>254</v>
      </c>
      <c r="C4" s="113">
        <v>600000</v>
      </c>
      <c r="D4" s="113">
        <v>549500</v>
      </c>
      <c r="E4" s="113">
        <f t="shared" ref="E4:E15" si="0">C4-D4</f>
        <v>50500</v>
      </c>
      <c r="F4" s="114"/>
      <c r="H4" s="129"/>
    </row>
    <row r="5" spans="1:8" ht="20.100000000000001" customHeight="1" x14ac:dyDescent="0.25">
      <c r="A5" s="111">
        <v>4</v>
      </c>
      <c r="B5" s="115" t="s">
        <v>284</v>
      </c>
      <c r="C5" s="116">
        <v>60000</v>
      </c>
      <c r="D5" s="116">
        <v>60000</v>
      </c>
      <c r="E5" s="116">
        <f t="shared" si="0"/>
        <v>0</v>
      </c>
      <c r="F5" s="117" t="s">
        <v>285</v>
      </c>
    </row>
    <row r="6" spans="1:8" ht="20.100000000000001" customHeight="1" x14ac:dyDescent="0.25">
      <c r="A6" s="111">
        <v>5</v>
      </c>
      <c r="B6" s="118" t="s">
        <v>297</v>
      </c>
      <c r="C6" s="113">
        <v>500000</v>
      </c>
      <c r="D6" s="113">
        <v>436000</v>
      </c>
      <c r="E6" s="113">
        <f t="shared" si="0"/>
        <v>64000</v>
      </c>
      <c r="F6" s="136" t="s">
        <v>311</v>
      </c>
    </row>
    <row r="7" spans="1:8" ht="20.100000000000001" customHeight="1" x14ac:dyDescent="0.25">
      <c r="A7" s="111">
        <v>6</v>
      </c>
      <c r="B7" s="115" t="s">
        <v>304</v>
      </c>
      <c r="C7" s="116">
        <v>1050000</v>
      </c>
      <c r="D7" s="116">
        <v>916500</v>
      </c>
      <c r="E7" s="116">
        <f t="shared" si="0"/>
        <v>133500</v>
      </c>
      <c r="F7" s="117" t="s">
        <v>285</v>
      </c>
    </row>
    <row r="8" spans="1:8" ht="20.100000000000001" customHeight="1" x14ac:dyDescent="0.25">
      <c r="A8" s="111">
        <v>7</v>
      </c>
      <c r="B8" s="118" t="s">
        <v>312</v>
      </c>
      <c r="C8" s="113">
        <v>105000</v>
      </c>
      <c r="D8" s="113">
        <v>105000</v>
      </c>
      <c r="E8" s="113">
        <f t="shared" si="0"/>
        <v>0</v>
      </c>
      <c r="F8" s="114" t="s">
        <v>285</v>
      </c>
    </row>
    <row r="9" spans="1:8" ht="20.100000000000001" customHeight="1" x14ac:dyDescent="0.25">
      <c r="A9" s="111">
        <v>8</v>
      </c>
      <c r="B9" s="115"/>
      <c r="C9" s="116"/>
      <c r="D9" s="116"/>
      <c r="E9" s="116">
        <f t="shared" si="0"/>
        <v>0</v>
      </c>
      <c r="F9" s="117"/>
    </row>
    <row r="10" spans="1:8" ht="20.100000000000001" customHeight="1" x14ac:dyDescent="0.25">
      <c r="A10" s="111">
        <v>9</v>
      </c>
      <c r="B10" s="118"/>
      <c r="C10" s="113"/>
      <c r="D10" s="113"/>
      <c r="E10" s="113">
        <f t="shared" si="0"/>
        <v>0</v>
      </c>
      <c r="F10" s="114"/>
    </row>
    <row r="11" spans="1:8" ht="20.100000000000001" customHeight="1" x14ac:dyDescent="0.25">
      <c r="A11" s="111">
        <v>10</v>
      </c>
      <c r="B11" s="115"/>
      <c r="C11" s="116"/>
      <c r="D11" s="116"/>
      <c r="E11" s="116">
        <f t="shared" si="0"/>
        <v>0</v>
      </c>
      <c r="F11" s="117"/>
    </row>
    <row r="12" spans="1:8" ht="20.100000000000001" customHeight="1" x14ac:dyDescent="0.25">
      <c r="A12" s="111">
        <v>11</v>
      </c>
      <c r="B12" s="118"/>
      <c r="C12" s="113"/>
      <c r="D12" s="113"/>
      <c r="E12" s="113">
        <f t="shared" si="0"/>
        <v>0</v>
      </c>
      <c r="F12" s="114"/>
    </row>
    <row r="13" spans="1:8" ht="20.100000000000001" customHeight="1" x14ac:dyDescent="0.25">
      <c r="A13" s="111">
        <v>12</v>
      </c>
      <c r="B13" s="115"/>
      <c r="C13" s="116"/>
      <c r="D13" s="116"/>
      <c r="E13" s="116">
        <f t="shared" si="0"/>
        <v>0</v>
      </c>
      <c r="F13" s="117"/>
    </row>
    <row r="14" spans="1:8" ht="20.100000000000001" customHeight="1" x14ac:dyDescent="0.25">
      <c r="A14" s="111">
        <v>13</v>
      </c>
      <c r="B14" s="118"/>
      <c r="C14" s="113"/>
      <c r="D14" s="113"/>
      <c r="E14" s="113">
        <f t="shared" si="0"/>
        <v>0</v>
      </c>
      <c r="F14" s="114"/>
    </row>
    <row r="15" spans="1:8" ht="20.100000000000001" customHeight="1" x14ac:dyDescent="0.25">
      <c r="A15" s="111">
        <v>14</v>
      </c>
      <c r="B15" s="115"/>
      <c r="C15" s="116"/>
      <c r="D15" s="116"/>
      <c r="E15" s="116">
        <f t="shared" si="0"/>
        <v>0</v>
      </c>
      <c r="F15" s="117"/>
    </row>
    <row r="16" spans="1:8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  <row r="28" ht="20.100000000000001" customHeight="1" x14ac:dyDescent="0.25"/>
    <row r="29" ht="20.100000000000001" customHeight="1" x14ac:dyDescent="0.25"/>
    <row r="30" ht="20.100000000000001" customHeight="1" x14ac:dyDescent="0.25"/>
    <row r="31" ht="20.100000000000001" customHeight="1" x14ac:dyDescent="0.25"/>
    <row r="3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</sheetData>
  <dataValidations count="1">
    <dataValidation type="list" allowBlank="1" showInputMessage="1" showErrorMessage="1" promptTitle="Bendahara" prompt="Data Ini dapat berubah statusnya apabila dana dari program tersebut telah cair._x000a_" sqref="F2:F15">
      <formula1>$H$2:$H$4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zoomScaleNormal="100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D52" sqref="D52"/>
    </sheetView>
  </sheetViews>
  <sheetFormatPr defaultRowHeight="15" x14ac:dyDescent="0.25"/>
  <cols>
    <col min="1" max="1" width="12.28515625" customWidth="1"/>
    <col min="2" max="2" width="9.85546875" customWidth="1"/>
    <col min="3" max="3" width="16.28515625" customWidth="1"/>
    <col min="4" max="4" width="37.28515625" customWidth="1"/>
    <col min="5" max="5" width="18.5703125" customWidth="1"/>
    <col min="6" max="8" width="18.28515625" customWidth="1"/>
    <col min="11" max="11" width="11" customWidth="1"/>
    <col min="12" max="12" width="39.85546875" customWidth="1"/>
    <col min="13" max="13" width="21.140625" style="57" customWidth="1"/>
    <col min="14" max="14" width="19.7109375" customWidth="1"/>
  </cols>
  <sheetData>
    <row r="1" spans="1:14" ht="35.1" customHeight="1" x14ac:dyDescent="0.25">
      <c r="A1" s="320" t="s">
        <v>320</v>
      </c>
      <c r="B1" s="325" t="s">
        <v>321</v>
      </c>
      <c r="C1" s="322" t="s">
        <v>174</v>
      </c>
      <c r="D1" s="322" t="s">
        <v>152</v>
      </c>
      <c r="E1" s="322" t="s">
        <v>291</v>
      </c>
      <c r="F1" s="322" t="s">
        <v>292</v>
      </c>
      <c r="G1" s="318" t="s">
        <v>313</v>
      </c>
      <c r="H1" s="319"/>
      <c r="K1" s="220" t="s">
        <v>174</v>
      </c>
      <c r="L1" s="223" t="s">
        <v>290</v>
      </c>
      <c r="M1" s="317" t="s">
        <v>291</v>
      </c>
      <c r="N1" s="223" t="s">
        <v>292</v>
      </c>
    </row>
    <row r="2" spans="1:14" ht="35.1" customHeight="1" x14ac:dyDescent="0.25">
      <c r="A2" s="321"/>
      <c r="B2" s="321"/>
      <c r="C2" s="323"/>
      <c r="D2" s="323"/>
      <c r="E2" s="323"/>
      <c r="F2" s="323"/>
      <c r="G2" s="170" t="s">
        <v>314</v>
      </c>
      <c r="H2" s="171" t="s">
        <v>315</v>
      </c>
      <c r="K2" s="220"/>
      <c r="L2" s="223"/>
      <c r="M2" s="317"/>
      <c r="N2" s="223"/>
    </row>
    <row r="3" spans="1:14" ht="24.95" customHeight="1" x14ac:dyDescent="0.25">
      <c r="A3" s="313" t="s">
        <v>337</v>
      </c>
      <c r="B3" s="304">
        <f>COUNTA(D3:D11)</f>
        <v>9</v>
      </c>
      <c r="C3" s="314" t="s">
        <v>170</v>
      </c>
      <c r="D3" s="149" t="s">
        <v>69</v>
      </c>
      <c r="E3" s="113">
        <v>700000</v>
      </c>
      <c r="F3" s="144">
        <v>582000</v>
      </c>
      <c r="G3" s="169">
        <f>IF(E3&gt;F3,E3-F3,0)</f>
        <v>118000</v>
      </c>
      <c r="H3" s="168">
        <f>IF(F3&gt;E3,F3-E3,0)</f>
        <v>0</v>
      </c>
      <c r="K3" s="220"/>
      <c r="L3" s="162" t="s">
        <v>153</v>
      </c>
      <c r="M3" s="163">
        <f>SUM(M4:M101)</f>
        <v>0</v>
      </c>
      <c r="N3" s="164">
        <f>SUM(N4:N101)</f>
        <v>3108500</v>
      </c>
    </row>
    <row r="4" spans="1:14" ht="24.95" customHeight="1" x14ac:dyDescent="0.25">
      <c r="A4" s="311"/>
      <c r="B4" s="305"/>
      <c r="C4" s="315"/>
      <c r="D4" s="149" t="s">
        <v>71</v>
      </c>
      <c r="E4" s="113">
        <v>500000</v>
      </c>
      <c r="F4" s="113">
        <v>477000</v>
      </c>
      <c r="G4" s="169">
        <f t="shared" ref="G4:G50" si="0">IF(E4&gt;F4,E4-F4,0)</f>
        <v>23000</v>
      </c>
      <c r="H4" s="168">
        <f t="shared" ref="H4:H50" si="1">IF(F4&gt;E4,F4-E4,0)</f>
        <v>0</v>
      </c>
    </row>
    <row r="5" spans="1:14" ht="24.95" customHeight="1" x14ac:dyDescent="0.25">
      <c r="A5" s="311"/>
      <c r="B5" s="305"/>
      <c r="C5" s="161" t="s">
        <v>172</v>
      </c>
      <c r="D5" s="149" t="s">
        <v>186</v>
      </c>
      <c r="E5" s="121">
        <v>350000</v>
      </c>
      <c r="F5" s="121">
        <v>377000</v>
      </c>
      <c r="G5" s="169">
        <f t="shared" si="0"/>
        <v>0</v>
      </c>
      <c r="H5" s="168">
        <f t="shared" si="1"/>
        <v>27000</v>
      </c>
    </row>
    <row r="6" spans="1:14" ht="24.95" customHeight="1" x14ac:dyDescent="0.25">
      <c r="A6" s="311"/>
      <c r="B6" s="305"/>
      <c r="C6" s="314" t="s">
        <v>179</v>
      </c>
      <c r="D6" s="158" t="s">
        <v>188</v>
      </c>
      <c r="E6" s="122">
        <v>1950000</v>
      </c>
      <c r="F6" s="122">
        <v>1099000</v>
      </c>
      <c r="G6" s="169">
        <f t="shared" si="0"/>
        <v>851000</v>
      </c>
      <c r="H6" s="168">
        <f t="shared" si="1"/>
        <v>0</v>
      </c>
      <c r="K6" s="324" t="s">
        <v>170</v>
      </c>
    </row>
    <row r="7" spans="1:14" ht="24.95" customHeight="1" x14ac:dyDescent="0.25">
      <c r="A7" s="311"/>
      <c r="B7" s="305"/>
      <c r="C7" s="316"/>
      <c r="D7" s="158" t="s">
        <v>183</v>
      </c>
      <c r="E7" s="122">
        <v>5400000</v>
      </c>
      <c r="F7" s="122">
        <v>5212500</v>
      </c>
      <c r="G7" s="169">
        <f t="shared" si="0"/>
        <v>187500</v>
      </c>
      <c r="H7" s="168">
        <f t="shared" si="1"/>
        <v>0</v>
      </c>
      <c r="K7" s="324"/>
    </row>
    <row r="8" spans="1:14" ht="24.95" customHeight="1" x14ac:dyDescent="0.25">
      <c r="A8" s="311"/>
      <c r="B8" s="305"/>
      <c r="C8" s="315"/>
      <c r="D8" s="158" t="s">
        <v>245</v>
      </c>
      <c r="E8" s="122">
        <v>2300000</v>
      </c>
      <c r="F8" s="122">
        <v>2195500</v>
      </c>
      <c r="G8" s="169">
        <f t="shared" si="0"/>
        <v>104500</v>
      </c>
      <c r="H8" s="168">
        <f t="shared" si="1"/>
        <v>0</v>
      </c>
      <c r="K8" s="324"/>
    </row>
    <row r="9" spans="1:14" ht="24.95" customHeight="1" x14ac:dyDescent="0.25">
      <c r="A9" s="311"/>
      <c r="B9" s="305"/>
      <c r="C9" s="161" t="s">
        <v>322</v>
      </c>
      <c r="D9" s="152" t="s">
        <v>249</v>
      </c>
      <c r="E9" s="121">
        <v>1100000</v>
      </c>
      <c r="F9" s="121">
        <v>1033500</v>
      </c>
      <c r="G9" s="169">
        <f t="shared" si="0"/>
        <v>66500</v>
      </c>
      <c r="H9" s="168">
        <f t="shared" si="1"/>
        <v>0</v>
      </c>
      <c r="K9" s="324"/>
    </row>
    <row r="10" spans="1:14" ht="24.95" customHeight="1" x14ac:dyDescent="0.25">
      <c r="A10" s="311"/>
      <c r="B10" s="305"/>
      <c r="C10" s="314" t="s">
        <v>323</v>
      </c>
      <c r="D10" s="149" t="s">
        <v>301</v>
      </c>
      <c r="E10" s="121">
        <v>730000</v>
      </c>
      <c r="F10" s="121">
        <v>530000</v>
      </c>
      <c r="G10" s="169">
        <f t="shared" si="0"/>
        <v>200000</v>
      </c>
      <c r="H10" s="168">
        <f t="shared" si="1"/>
        <v>0</v>
      </c>
      <c r="K10" s="324"/>
    </row>
    <row r="11" spans="1:14" ht="24.95" customHeight="1" x14ac:dyDescent="0.25">
      <c r="A11" s="311"/>
      <c r="B11" s="306"/>
      <c r="C11" s="316"/>
      <c r="D11" s="149" t="s">
        <v>307</v>
      </c>
      <c r="E11" s="121">
        <v>1050000</v>
      </c>
      <c r="F11" s="121">
        <v>916500</v>
      </c>
      <c r="G11" s="169">
        <f t="shared" si="0"/>
        <v>133500</v>
      </c>
      <c r="H11" s="168">
        <f t="shared" si="1"/>
        <v>0</v>
      </c>
      <c r="K11" s="324"/>
    </row>
    <row r="12" spans="1:14" ht="24.95" customHeight="1" x14ac:dyDescent="0.25">
      <c r="A12" s="301" t="s">
        <v>324</v>
      </c>
      <c r="B12" s="307">
        <f>COUNTA(D12:D13)</f>
        <v>2</v>
      </c>
      <c r="C12" s="161" t="s">
        <v>170</v>
      </c>
      <c r="D12" s="149" t="s">
        <v>73</v>
      </c>
      <c r="E12" s="113">
        <v>1780000</v>
      </c>
      <c r="F12" s="113">
        <v>1780000</v>
      </c>
      <c r="G12" s="169">
        <f t="shared" si="0"/>
        <v>0</v>
      </c>
      <c r="H12" s="168">
        <f t="shared" si="1"/>
        <v>0</v>
      </c>
      <c r="K12" s="324"/>
    </row>
    <row r="13" spans="1:14" ht="24.95" customHeight="1" x14ac:dyDescent="0.25">
      <c r="A13" s="302"/>
      <c r="B13" s="308"/>
      <c r="C13" s="161" t="s">
        <v>326</v>
      </c>
      <c r="D13" s="158" t="s">
        <v>284</v>
      </c>
      <c r="E13" s="122">
        <v>1775000</v>
      </c>
      <c r="F13" s="122">
        <v>1575700</v>
      </c>
      <c r="G13" s="169">
        <f t="shared" si="0"/>
        <v>199300</v>
      </c>
      <c r="H13" s="168">
        <f t="shared" si="1"/>
        <v>0</v>
      </c>
      <c r="K13" s="324"/>
    </row>
    <row r="14" spans="1:14" ht="24.95" customHeight="1" x14ac:dyDescent="0.25">
      <c r="A14" s="310" t="s">
        <v>327</v>
      </c>
      <c r="B14" s="304">
        <f>COUNTA(D14:D17)</f>
        <v>4</v>
      </c>
      <c r="C14" s="161" t="s">
        <v>170</v>
      </c>
      <c r="D14" s="149" t="s">
        <v>70</v>
      </c>
      <c r="E14" s="113">
        <v>450000</v>
      </c>
      <c r="F14" s="113">
        <v>633500</v>
      </c>
      <c r="G14" s="169">
        <f t="shared" si="0"/>
        <v>0</v>
      </c>
      <c r="H14" s="168">
        <f t="shared" si="1"/>
        <v>183500</v>
      </c>
      <c r="K14" s="324"/>
    </row>
    <row r="15" spans="1:14" ht="24.95" customHeight="1" x14ac:dyDescent="0.25">
      <c r="A15" s="311"/>
      <c r="B15" s="305"/>
      <c r="C15" s="161" t="s">
        <v>172</v>
      </c>
      <c r="D15" s="150" t="s">
        <v>125</v>
      </c>
      <c r="E15" s="121">
        <v>1950000</v>
      </c>
      <c r="F15" s="121">
        <v>1866500</v>
      </c>
      <c r="G15" s="169">
        <f t="shared" si="0"/>
        <v>83500</v>
      </c>
      <c r="H15" s="168">
        <f t="shared" si="1"/>
        <v>0</v>
      </c>
      <c r="K15" s="215" t="s">
        <v>171</v>
      </c>
    </row>
    <row r="16" spans="1:14" ht="24.95" customHeight="1" x14ac:dyDescent="0.25">
      <c r="A16" s="311"/>
      <c r="B16" s="305"/>
      <c r="C16" s="161" t="s">
        <v>179</v>
      </c>
      <c r="D16" s="158" t="s">
        <v>184</v>
      </c>
      <c r="E16" s="122">
        <v>780000</v>
      </c>
      <c r="F16" s="122">
        <v>591700</v>
      </c>
      <c r="G16" s="169">
        <f t="shared" si="0"/>
        <v>188300</v>
      </c>
      <c r="H16" s="168">
        <f t="shared" si="1"/>
        <v>0</v>
      </c>
      <c r="K16" s="215"/>
    </row>
    <row r="17" spans="1:14" ht="24.95" customHeight="1" x14ac:dyDescent="0.25">
      <c r="A17" s="312"/>
      <c r="B17" s="306"/>
      <c r="C17" s="161" t="s">
        <v>326</v>
      </c>
      <c r="D17" s="158" t="s">
        <v>287</v>
      </c>
      <c r="E17" s="122">
        <v>550000</v>
      </c>
      <c r="F17" s="122"/>
      <c r="G17" s="169">
        <f t="shared" si="0"/>
        <v>550000</v>
      </c>
      <c r="H17" s="168">
        <f t="shared" si="1"/>
        <v>0</v>
      </c>
      <c r="K17" s="215"/>
    </row>
    <row r="18" spans="1:14" ht="24.95" customHeight="1" x14ac:dyDescent="0.25">
      <c r="A18" s="301" t="s">
        <v>328</v>
      </c>
      <c r="B18" s="307">
        <f>COUNTA(D18:D27)</f>
        <v>10</v>
      </c>
      <c r="C18" s="161" t="s">
        <v>325</v>
      </c>
      <c r="D18" s="149" t="s">
        <v>59</v>
      </c>
      <c r="E18" s="113">
        <v>1440000</v>
      </c>
      <c r="F18" s="113">
        <v>1123000</v>
      </c>
      <c r="G18" s="169">
        <f t="shared" si="0"/>
        <v>317000</v>
      </c>
      <c r="H18" s="168">
        <f t="shared" si="1"/>
        <v>0</v>
      </c>
      <c r="K18" s="324" t="s">
        <v>172</v>
      </c>
    </row>
    <row r="19" spans="1:14" ht="24.95" customHeight="1" x14ac:dyDescent="0.25">
      <c r="A19" s="303"/>
      <c r="B19" s="309"/>
      <c r="C19" s="314" t="s">
        <v>172</v>
      </c>
      <c r="D19" s="151" t="s">
        <v>129</v>
      </c>
      <c r="E19" s="121">
        <v>655000</v>
      </c>
      <c r="F19" s="121">
        <v>468500</v>
      </c>
      <c r="G19" s="169">
        <f t="shared" si="0"/>
        <v>186500</v>
      </c>
      <c r="H19" s="168">
        <f t="shared" si="1"/>
        <v>0</v>
      </c>
      <c r="K19" s="324"/>
    </row>
    <row r="20" spans="1:14" ht="24.95" customHeight="1" x14ac:dyDescent="0.25">
      <c r="A20" s="303"/>
      <c r="B20" s="309"/>
      <c r="C20" s="315"/>
      <c r="D20" s="151" t="s">
        <v>191</v>
      </c>
      <c r="E20" s="121">
        <v>1200000</v>
      </c>
      <c r="F20" s="121">
        <v>593500</v>
      </c>
      <c r="G20" s="169">
        <f t="shared" si="0"/>
        <v>606500</v>
      </c>
      <c r="H20" s="168">
        <f t="shared" si="1"/>
        <v>0</v>
      </c>
      <c r="K20" s="324"/>
    </row>
    <row r="21" spans="1:14" ht="24.95" customHeight="1" x14ac:dyDescent="0.25">
      <c r="A21" s="303"/>
      <c r="B21" s="309"/>
      <c r="C21" s="314" t="s">
        <v>179</v>
      </c>
      <c r="D21" s="158" t="s">
        <v>246</v>
      </c>
      <c r="E21" s="122">
        <v>1115000</v>
      </c>
      <c r="F21" s="122">
        <v>1276000</v>
      </c>
      <c r="G21" s="169">
        <f t="shared" si="0"/>
        <v>0</v>
      </c>
      <c r="H21" s="168">
        <f t="shared" si="1"/>
        <v>161000</v>
      </c>
      <c r="K21" s="324"/>
    </row>
    <row r="22" spans="1:14" ht="24.95" customHeight="1" x14ac:dyDescent="0.25">
      <c r="A22" s="303"/>
      <c r="B22" s="309"/>
      <c r="C22" s="316"/>
      <c r="D22" s="158" t="s">
        <v>256</v>
      </c>
      <c r="E22" s="122">
        <v>0</v>
      </c>
      <c r="F22" s="122">
        <v>549500</v>
      </c>
      <c r="G22" s="169">
        <f t="shared" si="0"/>
        <v>0</v>
      </c>
      <c r="H22" s="168">
        <f t="shared" si="1"/>
        <v>549500</v>
      </c>
      <c r="K22" s="324"/>
    </row>
    <row r="23" spans="1:14" ht="24.95" customHeight="1" x14ac:dyDescent="0.25">
      <c r="A23" s="303"/>
      <c r="B23" s="309"/>
      <c r="C23" s="315"/>
      <c r="D23" s="158" t="s">
        <v>257</v>
      </c>
      <c r="E23" s="122">
        <v>250000</v>
      </c>
      <c r="F23" s="122">
        <v>175000</v>
      </c>
      <c r="G23" s="169">
        <f t="shared" si="0"/>
        <v>75000</v>
      </c>
      <c r="H23" s="168">
        <f t="shared" si="1"/>
        <v>0</v>
      </c>
      <c r="K23" s="324"/>
    </row>
    <row r="24" spans="1:14" ht="24.95" customHeight="1" x14ac:dyDescent="0.25">
      <c r="A24" s="303"/>
      <c r="B24" s="309"/>
      <c r="C24" s="314" t="s">
        <v>322</v>
      </c>
      <c r="D24" s="151" t="s">
        <v>302</v>
      </c>
      <c r="E24" s="122">
        <v>720000</v>
      </c>
      <c r="F24" s="122">
        <v>704000</v>
      </c>
      <c r="G24" s="169">
        <f t="shared" si="0"/>
        <v>16000</v>
      </c>
      <c r="H24" s="168">
        <f t="shared" si="1"/>
        <v>0</v>
      </c>
      <c r="K24" s="324"/>
    </row>
    <row r="25" spans="1:14" ht="24.95" customHeight="1" x14ac:dyDescent="0.25">
      <c r="A25" s="303"/>
      <c r="B25" s="309"/>
      <c r="C25" s="315"/>
      <c r="D25" s="151" t="s">
        <v>247</v>
      </c>
      <c r="E25" s="122">
        <v>1200000</v>
      </c>
      <c r="F25" s="122">
        <v>1075000</v>
      </c>
      <c r="G25" s="169">
        <f t="shared" si="0"/>
        <v>125000</v>
      </c>
      <c r="H25" s="168">
        <f t="shared" si="1"/>
        <v>0</v>
      </c>
      <c r="K25" s="324"/>
    </row>
    <row r="26" spans="1:14" ht="24.95" customHeight="1" x14ac:dyDescent="0.25">
      <c r="A26" s="303"/>
      <c r="B26" s="309"/>
      <c r="C26" s="314" t="s">
        <v>323</v>
      </c>
      <c r="D26" s="151" t="s">
        <v>310</v>
      </c>
      <c r="E26" s="121">
        <v>1170000</v>
      </c>
      <c r="F26" s="121">
        <v>746000</v>
      </c>
      <c r="G26" s="169">
        <f t="shared" si="0"/>
        <v>424000</v>
      </c>
      <c r="H26" s="168">
        <f t="shared" si="1"/>
        <v>0</v>
      </c>
      <c r="K26" s="324"/>
    </row>
    <row r="27" spans="1:14" ht="24.95" customHeight="1" x14ac:dyDescent="0.25">
      <c r="A27" s="302"/>
      <c r="B27" s="308"/>
      <c r="C27" s="315"/>
      <c r="D27" s="149" t="s">
        <v>308</v>
      </c>
      <c r="E27" s="121">
        <v>3600000</v>
      </c>
      <c r="F27" s="121"/>
      <c r="G27" s="169">
        <f t="shared" si="0"/>
        <v>3600000</v>
      </c>
      <c r="H27" s="168">
        <f t="shared" si="1"/>
        <v>0</v>
      </c>
      <c r="K27" s="215" t="s">
        <v>179</v>
      </c>
      <c r="L27" s="165" t="s">
        <v>178</v>
      </c>
      <c r="M27" s="120">
        <v>0</v>
      </c>
      <c r="N27" s="120">
        <v>958500</v>
      </c>
    </row>
    <row r="28" spans="1:14" ht="24.95" customHeight="1" x14ac:dyDescent="0.25">
      <c r="A28" s="310" t="s">
        <v>329</v>
      </c>
      <c r="B28" s="304">
        <f>COUNTA(D28:D31)</f>
        <v>4</v>
      </c>
      <c r="C28" s="314" t="s">
        <v>172</v>
      </c>
      <c r="D28" s="150" t="s">
        <v>114</v>
      </c>
      <c r="E28" s="121">
        <v>4800000</v>
      </c>
      <c r="F28" s="121">
        <v>3468500</v>
      </c>
      <c r="G28" s="169">
        <f t="shared" si="0"/>
        <v>1331500</v>
      </c>
      <c r="H28" s="168">
        <f t="shared" si="1"/>
        <v>0</v>
      </c>
      <c r="K28" s="215"/>
    </row>
    <row r="29" spans="1:14" ht="24.95" customHeight="1" x14ac:dyDescent="0.25">
      <c r="A29" s="311"/>
      <c r="B29" s="305"/>
      <c r="C29" s="315"/>
      <c r="D29" s="150" t="s">
        <v>126</v>
      </c>
      <c r="E29" s="121">
        <v>450000</v>
      </c>
      <c r="F29" s="121">
        <v>450000</v>
      </c>
      <c r="G29" s="169">
        <f t="shared" si="0"/>
        <v>0</v>
      </c>
      <c r="H29" s="168">
        <f t="shared" si="1"/>
        <v>0</v>
      </c>
      <c r="K29" s="215"/>
    </row>
    <row r="30" spans="1:14" ht="24.95" customHeight="1" x14ac:dyDescent="0.25">
      <c r="A30" s="311"/>
      <c r="B30" s="305"/>
      <c r="C30" s="161" t="s">
        <v>179</v>
      </c>
      <c r="D30" s="167" t="s">
        <v>258</v>
      </c>
      <c r="E30" s="122">
        <v>6740000</v>
      </c>
      <c r="F30" s="122">
        <v>6190000</v>
      </c>
      <c r="G30" s="169">
        <f t="shared" si="0"/>
        <v>550000</v>
      </c>
      <c r="H30" s="168">
        <f t="shared" si="1"/>
        <v>0</v>
      </c>
      <c r="K30" s="215"/>
    </row>
    <row r="31" spans="1:14" ht="24.95" customHeight="1" x14ac:dyDescent="0.25">
      <c r="A31" s="312"/>
      <c r="B31" s="306"/>
      <c r="C31" s="161" t="s">
        <v>326</v>
      </c>
      <c r="D31" s="158" t="s">
        <v>288</v>
      </c>
      <c r="E31" s="122">
        <v>0</v>
      </c>
      <c r="F31" s="122">
        <v>200000</v>
      </c>
      <c r="G31" s="169">
        <f t="shared" si="0"/>
        <v>0</v>
      </c>
      <c r="H31" s="168">
        <f t="shared" si="1"/>
        <v>200000</v>
      </c>
      <c r="K31" s="215"/>
    </row>
    <row r="32" spans="1:14" ht="24.95" customHeight="1" x14ac:dyDescent="0.25">
      <c r="A32" s="301" t="s">
        <v>330</v>
      </c>
      <c r="B32" s="307">
        <f>COUNTA(D32:D38)</f>
        <v>7</v>
      </c>
      <c r="C32" s="161" t="s">
        <v>170</v>
      </c>
      <c r="D32" s="158" t="s">
        <v>87</v>
      </c>
      <c r="E32" s="122">
        <v>900000</v>
      </c>
      <c r="F32" s="122">
        <v>564000</v>
      </c>
      <c r="G32" s="169">
        <f t="shared" si="0"/>
        <v>336000</v>
      </c>
      <c r="H32" s="168">
        <f t="shared" si="1"/>
        <v>0</v>
      </c>
      <c r="K32" s="215"/>
    </row>
    <row r="33" spans="1:14" ht="24.95" customHeight="1" x14ac:dyDescent="0.25">
      <c r="A33" s="303"/>
      <c r="B33" s="309"/>
      <c r="C33" s="161" t="s">
        <v>171</v>
      </c>
      <c r="D33" s="158" t="s">
        <v>88</v>
      </c>
      <c r="E33" s="122">
        <v>3750000</v>
      </c>
      <c r="F33" s="122">
        <v>3398500</v>
      </c>
      <c r="G33" s="169">
        <f t="shared" si="0"/>
        <v>351500</v>
      </c>
      <c r="H33" s="168">
        <f t="shared" si="1"/>
        <v>0</v>
      </c>
      <c r="K33" s="215"/>
    </row>
    <row r="34" spans="1:14" ht="24.95" customHeight="1" x14ac:dyDescent="0.25">
      <c r="A34" s="303"/>
      <c r="B34" s="309"/>
      <c r="C34" s="161" t="s">
        <v>172</v>
      </c>
      <c r="D34" s="158" t="s">
        <v>131</v>
      </c>
      <c r="E34" s="122">
        <v>670000</v>
      </c>
      <c r="F34" s="122">
        <v>470000</v>
      </c>
      <c r="G34" s="169">
        <f t="shared" si="0"/>
        <v>200000</v>
      </c>
      <c r="H34" s="168">
        <f t="shared" si="1"/>
        <v>0</v>
      </c>
      <c r="K34" s="215"/>
    </row>
    <row r="35" spans="1:14" ht="24.95" customHeight="1" x14ac:dyDescent="0.25">
      <c r="A35" s="303"/>
      <c r="B35" s="309"/>
      <c r="C35" s="327" t="s">
        <v>179</v>
      </c>
      <c r="D35" s="158" t="s">
        <v>189</v>
      </c>
      <c r="E35" s="122">
        <v>2578000</v>
      </c>
      <c r="F35" s="122">
        <v>2208000</v>
      </c>
      <c r="G35" s="169">
        <f t="shared" si="0"/>
        <v>370000</v>
      </c>
      <c r="H35" s="168">
        <f t="shared" si="1"/>
        <v>0</v>
      </c>
      <c r="K35" s="215"/>
    </row>
    <row r="36" spans="1:14" ht="24.95" customHeight="1" x14ac:dyDescent="0.25">
      <c r="A36" s="303"/>
      <c r="B36" s="309"/>
      <c r="C36" s="328"/>
      <c r="D36" s="158" t="s">
        <v>190</v>
      </c>
      <c r="E36" s="122">
        <v>1122000</v>
      </c>
      <c r="F36" s="122">
        <v>1162000</v>
      </c>
      <c r="G36" s="169">
        <f t="shared" si="0"/>
        <v>0</v>
      </c>
      <c r="H36" s="168">
        <f t="shared" si="1"/>
        <v>40000</v>
      </c>
      <c r="K36" s="215"/>
    </row>
    <row r="37" spans="1:14" ht="24.95" customHeight="1" x14ac:dyDescent="0.25">
      <c r="A37" s="303"/>
      <c r="B37" s="309"/>
      <c r="C37" s="314" t="s">
        <v>323</v>
      </c>
      <c r="D37" s="149" t="s">
        <v>305</v>
      </c>
      <c r="E37" s="121">
        <v>2322000</v>
      </c>
      <c r="F37" s="121">
        <v>2338000</v>
      </c>
      <c r="G37" s="169">
        <f t="shared" si="0"/>
        <v>0</v>
      </c>
      <c r="H37" s="168">
        <f t="shared" si="1"/>
        <v>16000</v>
      </c>
      <c r="K37" s="215"/>
    </row>
    <row r="38" spans="1:14" ht="24.95" customHeight="1" x14ac:dyDescent="0.25">
      <c r="A38" s="302"/>
      <c r="B38" s="308"/>
      <c r="C38" s="315"/>
      <c r="D38" s="149" t="s">
        <v>306</v>
      </c>
      <c r="E38" s="121">
        <v>1378000</v>
      </c>
      <c r="F38" s="121">
        <v>1441600</v>
      </c>
      <c r="G38" s="169">
        <f t="shared" si="0"/>
        <v>0</v>
      </c>
      <c r="H38" s="168">
        <f t="shared" si="1"/>
        <v>63600</v>
      </c>
      <c r="K38" s="190" t="s">
        <v>278</v>
      </c>
    </row>
    <row r="39" spans="1:14" ht="24.95" customHeight="1" x14ac:dyDescent="0.25">
      <c r="A39" s="310" t="s">
        <v>331</v>
      </c>
      <c r="B39" s="304">
        <f>COUNTA(D39:D41)</f>
        <v>3</v>
      </c>
      <c r="C39" s="161" t="s">
        <v>170</v>
      </c>
      <c r="D39" s="149" t="s">
        <v>40</v>
      </c>
      <c r="E39" s="113">
        <v>650000</v>
      </c>
      <c r="F39" s="113">
        <v>657000</v>
      </c>
      <c r="G39" s="169">
        <f t="shared" si="0"/>
        <v>0</v>
      </c>
      <c r="H39" s="168">
        <f t="shared" si="1"/>
        <v>7000</v>
      </c>
      <c r="K39" s="191"/>
    </row>
    <row r="40" spans="1:14" ht="24.95" customHeight="1" x14ac:dyDescent="0.25">
      <c r="A40" s="311"/>
      <c r="B40" s="305"/>
      <c r="C40" s="161" t="s">
        <v>172</v>
      </c>
      <c r="D40" s="149" t="s">
        <v>130</v>
      </c>
      <c r="E40" s="121">
        <v>750000</v>
      </c>
      <c r="F40" s="121">
        <v>740000</v>
      </c>
      <c r="G40" s="169">
        <f t="shared" si="0"/>
        <v>10000</v>
      </c>
      <c r="H40" s="168">
        <f t="shared" si="1"/>
        <v>0</v>
      </c>
      <c r="K40" s="191"/>
    </row>
    <row r="41" spans="1:14" ht="24.95" customHeight="1" x14ac:dyDescent="0.25">
      <c r="A41" s="312"/>
      <c r="B41" s="306"/>
      <c r="C41" s="161" t="s">
        <v>338</v>
      </c>
      <c r="D41" s="172" t="s">
        <v>339</v>
      </c>
      <c r="E41" s="121">
        <v>570000</v>
      </c>
      <c r="F41" s="121">
        <v>575000</v>
      </c>
      <c r="G41" s="169">
        <f t="shared" si="0"/>
        <v>0</v>
      </c>
      <c r="H41" s="168">
        <f t="shared" si="1"/>
        <v>5000</v>
      </c>
      <c r="K41" s="191"/>
    </row>
    <row r="42" spans="1:14" ht="24.95" customHeight="1" x14ac:dyDescent="0.25">
      <c r="A42" s="114" t="s">
        <v>332</v>
      </c>
      <c r="B42" s="173">
        <f>COUNTA(D42)</f>
        <v>1</v>
      </c>
      <c r="C42" s="161" t="s">
        <v>170</v>
      </c>
      <c r="D42" s="149" t="s">
        <v>49</v>
      </c>
      <c r="E42" s="113">
        <v>200000</v>
      </c>
      <c r="F42" s="113">
        <v>199000</v>
      </c>
      <c r="G42" s="169">
        <f t="shared" si="0"/>
        <v>1000</v>
      </c>
      <c r="H42" s="168">
        <f t="shared" si="1"/>
        <v>0</v>
      </c>
      <c r="K42" s="192"/>
    </row>
    <row r="43" spans="1:14" ht="24.95" customHeight="1" x14ac:dyDescent="0.25">
      <c r="A43" s="174" t="s">
        <v>333</v>
      </c>
      <c r="B43" s="175">
        <f>COUNTA(D43)</f>
        <v>1</v>
      </c>
      <c r="C43" s="161" t="s">
        <v>170</v>
      </c>
      <c r="D43" s="149" t="s">
        <v>72</v>
      </c>
      <c r="E43" s="113">
        <v>2060000</v>
      </c>
      <c r="F43" s="113">
        <v>1900000</v>
      </c>
      <c r="G43" s="169">
        <f t="shared" si="0"/>
        <v>160000</v>
      </c>
      <c r="H43" s="168">
        <f t="shared" si="1"/>
        <v>0</v>
      </c>
      <c r="K43" s="215" t="s">
        <v>303</v>
      </c>
    </row>
    <row r="44" spans="1:14" ht="24.95" customHeight="1" x14ac:dyDescent="0.25">
      <c r="A44" s="301" t="s">
        <v>334</v>
      </c>
      <c r="B44" s="307">
        <f>COUNTA(D44:D45)</f>
        <v>2</v>
      </c>
      <c r="C44" s="161" t="s">
        <v>171</v>
      </c>
      <c r="D44" s="158" t="s">
        <v>296</v>
      </c>
      <c r="E44" s="122">
        <v>2420000</v>
      </c>
      <c r="F44" s="122">
        <v>2397000</v>
      </c>
      <c r="G44" s="169">
        <f t="shared" si="0"/>
        <v>23000</v>
      </c>
      <c r="H44" s="168">
        <f t="shared" si="1"/>
        <v>0</v>
      </c>
      <c r="K44" s="215"/>
    </row>
    <row r="45" spans="1:14" ht="24.95" customHeight="1" x14ac:dyDescent="0.25">
      <c r="A45" s="302"/>
      <c r="B45" s="308"/>
      <c r="C45" s="161" t="s">
        <v>172</v>
      </c>
      <c r="D45" s="149" t="s">
        <v>155</v>
      </c>
      <c r="E45" s="121">
        <v>750000</v>
      </c>
      <c r="F45" s="121">
        <v>1450000</v>
      </c>
      <c r="G45" s="169">
        <f t="shared" si="0"/>
        <v>0</v>
      </c>
      <c r="H45" s="168">
        <f t="shared" si="1"/>
        <v>700000</v>
      </c>
      <c r="K45" s="215"/>
    </row>
    <row r="46" spans="1:14" ht="24.95" customHeight="1" x14ac:dyDescent="0.25">
      <c r="A46" s="174" t="s">
        <v>335</v>
      </c>
      <c r="B46" s="175">
        <f>COUNTA(D46)</f>
        <v>1</v>
      </c>
      <c r="C46" s="161" t="s">
        <v>322</v>
      </c>
      <c r="D46" s="151" t="s">
        <v>192</v>
      </c>
      <c r="E46" s="122">
        <v>740000</v>
      </c>
      <c r="F46" s="122">
        <v>775000</v>
      </c>
      <c r="G46" s="169">
        <f t="shared" si="0"/>
        <v>0</v>
      </c>
      <c r="H46" s="168">
        <f t="shared" si="1"/>
        <v>35000</v>
      </c>
      <c r="K46" s="215"/>
    </row>
    <row r="47" spans="1:14" ht="24.95" customHeight="1" x14ac:dyDescent="0.25">
      <c r="A47" s="301" t="s">
        <v>336</v>
      </c>
      <c r="B47" s="307">
        <f>COUNTA(D47:D50)</f>
        <v>4</v>
      </c>
      <c r="C47" s="326" t="s">
        <v>169</v>
      </c>
      <c r="D47" s="158" t="s">
        <v>298</v>
      </c>
      <c r="E47" s="122">
        <v>7900000</v>
      </c>
      <c r="F47" s="122">
        <v>7652500</v>
      </c>
      <c r="G47" s="169">
        <f t="shared" si="0"/>
        <v>247500</v>
      </c>
      <c r="H47" s="168">
        <f t="shared" si="1"/>
        <v>0</v>
      </c>
      <c r="K47" s="324" t="s">
        <v>300</v>
      </c>
      <c r="L47" s="166" t="s">
        <v>178</v>
      </c>
      <c r="M47" s="121">
        <v>0</v>
      </c>
      <c r="N47" s="121">
        <v>2150000</v>
      </c>
    </row>
    <row r="48" spans="1:14" ht="24.95" customHeight="1" x14ac:dyDescent="0.25">
      <c r="A48" s="303"/>
      <c r="B48" s="309"/>
      <c r="C48" s="326"/>
      <c r="D48" s="158" t="s">
        <v>299</v>
      </c>
      <c r="E48" s="122">
        <v>4818000</v>
      </c>
      <c r="F48" s="122">
        <v>4020500</v>
      </c>
      <c r="G48" s="169">
        <f t="shared" si="0"/>
        <v>797500</v>
      </c>
      <c r="H48" s="168">
        <f t="shared" si="1"/>
        <v>0</v>
      </c>
      <c r="K48" s="324"/>
    </row>
    <row r="49" spans="1:13" ht="24.95" customHeight="1" x14ac:dyDescent="0.25">
      <c r="A49" s="303"/>
      <c r="B49" s="309"/>
      <c r="C49" s="161" t="s">
        <v>171</v>
      </c>
      <c r="D49" s="158" t="s">
        <v>96</v>
      </c>
      <c r="E49" s="122">
        <v>2740000</v>
      </c>
      <c r="F49" s="122">
        <v>2307000</v>
      </c>
      <c r="G49" s="169">
        <f t="shared" si="0"/>
        <v>433000</v>
      </c>
      <c r="H49" s="168">
        <f t="shared" si="1"/>
        <v>0</v>
      </c>
      <c r="K49" s="324"/>
    </row>
    <row r="50" spans="1:13" ht="24.95" customHeight="1" x14ac:dyDescent="0.25">
      <c r="A50" s="302"/>
      <c r="B50" s="308"/>
      <c r="C50" s="161" t="s">
        <v>326</v>
      </c>
      <c r="D50" s="167" t="s">
        <v>280</v>
      </c>
      <c r="E50" s="122">
        <v>0</v>
      </c>
      <c r="F50" s="122">
        <v>388000</v>
      </c>
      <c r="G50" s="169">
        <f t="shared" si="0"/>
        <v>0</v>
      </c>
      <c r="H50" s="168">
        <f t="shared" si="1"/>
        <v>388000</v>
      </c>
      <c r="K50" s="324"/>
    </row>
    <row r="51" spans="1:13" ht="24.95" customHeight="1" x14ac:dyDescent="0.25">
      <c r="A51" s="159"/>
      <c r="B51" s="129"/>
      <c r="C51" s="161" t="s">
        <v>338</v>
      </c>
      <c r="D51" s="157" t="s">
        <v>340</v>
      </c>
      <c r="E51" s="113"/>
      <c r="F51" s="113"/>
      <c r="G51" s="113"/>
      <c r="H51" s="113"/>
      <c r="K51" s="324"/>
    </row>
    <row r="52" spans="1:13" ht="24.95" customHeight="1" x14ac:dyDescent="0.25">
      <c r="A52" s="159"/>
      <c r="B52" s="129"/>
      <c r="C52" s="160"/>
      <c r="D52" s="157"/>
      <c r="E52" s="113"/>
      <c r="F52" s="113"/>
      <c r="G52" s="113"/>
      <c r="H52" s="113"/>
      <c r="K52" s="324"/>
    </row>
    <row r="53" spans="1:13" ht="24.95" customHeight="1" x14ac:dyDescent="0.25">
      <c r="A53" s="159"/>
      <c r="B53" s="129"/>
      <c r="C53" s="160"/>
      <c r="D53" s="157"/>
      <c r="E53" s="113"/>
      <c r="F53" s="113"/>
      <c r="G53" s="113"/>
      <c r="H53" s="113"/>
      <c r="K53" s="324"/>
    </row>
    <row r="54" spans="1:13" ht="24.95" customHeight="1" x14ac:dyDescent="0.25">
      <c r="A54" s="159"/>
      <c r="B54" s="129"/>
      <c r="C54" s="160"/>
      <c r="D54" s="157"/>
      <c r="E54" s="113"/>
      <c r="F54" s="113"/>
      <c r="G54" s="113"/>
      <c r="H54" s="113"/>
    </row>
    <row r="55" spans="1:13" x14ac:dyDescent="0.25">
      <c r="M55"/>
    </row>
    <row r="56" spans="1:13" x14ac:dyDescent="0.25">
      <c r="M56"/>
    </row>
    <row r="57" spans="1:13" x14ac:dyDescent="0.25">
      <c r="M57"/>
    </row>
    <row r="58" spans="1:13" x14ac:dyDescent="0.25">
      <c r="M58"/>
    </row>
    <row r="59" spans="1:13" x14ac:dyDescent="0.25">
      <c r="M59"/>
    </row>
    <row r="60" spans="1:13" x14ac:dyDescent="0.25">
      <c r="M60"/>
    </row>
    <row r="61" spans="1:13" x14ac:dyDescent="0.25">
      <c r="M61"/>
    </row>
    <row r="62" spans="1:13" x14ac:dyDescent="0.25">
      <c r="M62"/>
    </row>
    <row r="63" spans="1:13" x14ac:dyDescent="0.25">
      <c r="M63"/>
    </row>
    <row r="64" spans="1:13" x14ac:dyDescent="0.25">
      <c r="M64"/>
    </row>
    <row r="65" spans="13:13" x14ac:dyDescent="0.25">
      <c r="M65"/>
    </row>
    <row r="66" spans="13:13" x14ac:dyDescent="0.25">
      <c r="M66"/>
    </row>
    <row r="67" spans="13:13" x14ac:dyDescent="0.25">
      <c r="M67"/>
    </row>
    <row r="68" spans="13:13" x14ac:dyDescent="0.25">
      <c r="M68"/>
    </row>
    <row r="69" spans="13:13" x14ac:dyDescent="0.25">
      <c r="M69"/>
    </row>
    <row r="70" spans="13:13" x14ac:dyDescent="0.25">
      <c r="M70"/>
    </row>
    <row r="71" spans="13:13" x14ac:dyDescent="0.25">
      <c r="M71"/>
    </row>
    <row r="72" spans="13:13" x14ac:dyDescent="0.25">
      <c r="M72"/>
    </row>
  </sheetData>
  <mergeCells count="47">
    <mergeCell ref="K43:K46"/>
    <mergeCell ref="K47:K53"/>
    <mergeCell ref="B1:B2"/>
    <mergeCell ref="K1:K3"/>
    <mergeCell ref="K6:K14"/>
    <mergeCell ref="C47:C48"/>
    <mergeCell ref="C3:C4"/>
    <mergeCell ref="C6:C8"/>
    <mergeCell ref="K38:K42"/>
    <mergeCell ref="C10:C11"/>
    <mergeCell ref="C24:C25"/>
    <mergeCell ref="C26:C27"/>
    <mergeCell ref="C28:C29"/>
    <mergeCell ref="K18:K26"/>
    <mergeCell ref="K15:K17"/>
    <mergeCell ref="C35:C36"/>
    <mergeCell ref="M1:M2"/>
    <mergeCell ref="N1:N2"/>
    <mergeCell ref="G1:H1"/>
    <mergeCell ref="A1:A2"/>
    <mergeCell ref="C1:C2"/>
    <mergeCell ref="D1:D2"/>
    <mergeCell ref="E1:E2"/>
    <mergeCell ref="F1:F2"/>
    <mergeCell ref="L1:L2"/>
    <mergeCell ref="C37:C38"/>
    <mergeCell ref="A32:A38"/>
    <mergeCell ref="A14:A17"/>
    <mergeCell ref="C19:C20"/>
    <mergeCell ref="C21:C23"/>
    <mergeCell ref="A18:A27"/>
    <mergeCell ref="K27:K37"/>
    <mergeCell ref="A44:A45"/>
    <mergeCell ref="A47:A50"/>
    <mergeCell ref="B3:B11"/>
    <mergeCell ref="B12:B13"/>
    <mergeCell ref="B14:B17"/>
    <mergeCell ref="B18:B27"/>
    <mergeCell ref="B28:B31"/>
    <mergeCell ref="B32:B38"/>
    <mergeCell ref="B44:B45"/>
    <mergeCell ref="B47:B50"/>
    <mergeCell ref="B39:B41"/>
    <mergeCell ref="A39:A41"/>
    <mergeCell ref="A28:A31"/>
    <mergeCell ref="A3:A11"/>
    <mergeCell ref="A12:A13"/>
  </mergeCells>
  <pageMargins left="0.7" right="0.7" top="0.75" bottom="0.75" header="0.3" footer="0.3"/>
  <pageSetup paperSize="9" scale="73" orientation="landscape" horizontalDpi="0" verticalDpi="0" r:id="rId1"/>
  <rowBreaks count="1" manualBreakCount="1">
    <brk id="27" max="16383" man="1"/>
  </rowBreaks>
  <colBreaks count="1" manualBreakCount="1">
    <brk id="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26"/>
  <sheetViews>
    <sheetView zoomScale="115" zoomScaleNormal="115" workbookViewId="0">
      <selection activeCell="D29" sqref="D29"/>
    </sheetView>
  </sheetViews>
  <sheetFormatPr defaultRowHeight="15" x14ac:dyDescent="0.25"/>
  <cols>
    <col min="1" max="1" width="14.42578125" customWidth="1"/>
    <col min="2" max="2" width="26" customWidth="1"/>
    <col min="3" max="3" width="15.85546875" customWidth="1"/>
    <col min="4" max="4" width="15.42578125" customWidth="1"/>
    <col min="5" max="5" width="19" customWidth="1"/>
  </cols>
  <sheetData>
    <row r="1" spans="1:5" ht="27" customHeight="1" thickBot="1" x14ac:dyDescent="0.3">
      <c r="A1" s="37" t="s">
        <v>0</v>
      </c>
      <c r="B1" s="38" t="s">
        <v>1</v>
      </c>
      <c r="C1" s="39" t="s">
        <v>3</v>
      </c>
      <c r="D1" s="40" t="s">
        <v>2</v>
      </c>
      <c r="E1" s="45" t="s">
        <v>4</v>
      </c>
    </row>
    <row r="2" spans="1:5" ht="15.75" thickBot="1" x14ac:dyDescent="0.3">
      <c r="A2" s="246">
        <v>45658</v>
      </c>
      <c r="B2" s="36" t="s">
        <v>127</v>
      </c>
      <c r="C2" s="32" t="s">
        <v>17</v>
      </c>
      <c r="D2" s="32">
        <v>2784500</v>
      </c>
      <c r="E2" s="46">
        <f>Table32[[#This Row],[Masuk]]</f>
        <v>2784500</v>
      </c>
    </row>
    <row r="3" spans="1:5" ht="30.75" thickBot="1" x14ac:dyDescent="0.3">
      <c r="A3" s="247"/>
      <c r="B3" s="43" t="s">
        <v>132</v>
      </c>
      <c r="C3" s="17" t="s">
        <v>17</v>
      </c>
      <c r="D3" s="42">
        <v>23000</v>
      </c>
      <c r="E3" s="51">
        <f>E2+Table32[[#This Row],[Masuk]]</f>
        <v>2807500</v>
      </c>
    </row>
    <row r="4" spans="1:5" ht="15.75" thickBot="1" x14ac:dyDescent="0.3">
      <c r="A4" s="329">
        <v>45674</v>
      </c>
      <c r="B4" s="41" t="s">
        <v>133</v>
      </c>
      <c r="C4" s="17" t="s">
        <v>17</v>
      </c>
      <c r="D4" s="42">
        <v>83500</v>
      </c>
      <c r="E4" s="51">
        <f>E3+Table32[[#This Row],[Masuk]]</f>
        <v>2891000</v>
      </c>
    </row>
    <row r="5" spans="1:5" ht="15.75" thickBot="1" x14ac:dyDescent="0.3">
      <c r="A5" s="330"/>
      <c r="B5" s="44" t="s">
        <v>134</v>
      </c>
      <c r="C5" s="17" t="s">
        <v>17</v>
      </c>
      <c r="D5" s="42">
        <v>1331500</v>
      </c>
      <c r="E5" s="51">
        <f>E4+Table32[[#This Row],[Masuk]]</f>
        <v>4222500</v>
      </c>
    </row>
    <row r="6" spans="1:5" ht="15.75" thickBot="1" x14ac:dyDescent="0.3">
      <c r="A6" s="62"/>
      <c r="B6" s="52" t="s">
        <v>146</v>
      </c>
      <c r="C6" s="53">
        <v>110000</v>
      </c>
      <c r="D6" s="53"/>
      <c r="E6" s="46">
        <f>E5-Table32[[#This Row],[Keluar]]</f>
        <v>4112500</v>
      </c>
    </row>
    <row r="7" spans="1:5" ht="15.75" thickBot="1" x14ac:dyDescent="0.3">
      <c r="A7" s="329">
        <v>45677</v>
      </c>
      <c r="B7" s="47" t="s">
        <v>135</v>
      </c>
      <c r="C7" s="42">
        <v>1021000</v>
      </c>
      <c r="D7" s="17" t="s">
        <v>17</v>
      </c>
      <c r="E7" s="46">
        <f>E6-Table32[[#This Row],[Keluar]]</f>
        <v>3091500</v>
      </c>
    </row>
    <row r="8" spans="1:5" ht="15.75" thickBot="1" x14ac:dyDescent="0.3">
      <c r="A8" s="331"/>
      <c r="B8" s="47" t="s">
        <v>128</v>
      </c>
      <c r="C8" s="42">
        <v>350000</v>
      </c>
      <c r="D8" s="17" t="s">
        <v>17</v>
      </c>
      <c r="E8" s="46">
        <f>E7-Table32[[#This Row],[Keluar]]</f>
        <v>2741500</v>
      </c>
    </row>
    <row r="9" spans="1:5" ht="15.75" thickBot="1" x14ac:dyDescent="0.3">
      <c r="A9" s="331"/>
      <c r="B9" s="47" t="s">
        <v>129</v>
      </c>
      <c r="C9" s="42">
        <v>655000</v>
      </c>
      <c r="D9" s="17" t="s">
        <v>17</v>
      </c>
      <c r="E9" s="46">
        <f>E8-Table32[[#This Row],[Keluar]]</f>
        <v>2086500</v>
      </c>
    </row>
    <row r="10" spans="1:5" ht="15.75" thickBot="1" x14ac:dyDescent="0.3">
      <c r="A10" s="330"/>
      <c r="B10" s="47" t="s">
        <v>130</v>
      </c>
      <c r="C10" s="42">
        <v>750000</v>
      </c>
      <c r="D10" s="17" t="s">
        <v>17</v>
      </c>
      <c r="E10" s="46">
        <f>E9-Table32[[#This Row],[Keluar]]</f>
        <v>1336500</v>
      </c>
    </row>
    <row r="11" spans="1:5" ht="15.75" thickBot="1" x14ac:dyDescent="0.3">
      <c r="A11" s="329">
        <v>45680</v>
      </c>
      <c r="B11" s="48" t="s">
        <v>128</v>
      </c>
      <c r="C11" s="2" t="s">
        <v>17</v>
      </c>
      <c r="D11" s="42">
        <v>350000</v>
      </c>
      <c r="E11" s="46">
        <f>E10+Table32[[#This Row],[Masuk]]</f>
        <v>1686500</v>
      </c>
    </row>
    <row r="12" spans="1:5" ht="15.75" thickBot="1" x14ac:dyDescent="0.3">
      <c r="A12" s="331"/>
      <c r="B12" s="48" t="s">
        <v>129</v>
      </c>
      <c r="C12" s="2" t="s">
        <v>17</v>
      </c>
      <c r="D12" s="42">
        <v>655000</v>
      </c>
      <c r="E12" s="46">
        <f>E11+Table32[[#This Row],[Masuk]]</f>
        <v>2341500</v>
      </c>
    </row>
    <row r="13" spans="1:5" ht="15.75" thickBot="1" x14ac:dyDescent="0.3">
      <c r="A13" s="330"/>
      <c r="B13" s="49" t="s">
        <v>130</v>
      </c>
      <c r="C13" s="17" t="s">
        <v>17</v>
      </c>
      <c r="D13" s="42">
        <v>750000</v>
      </c>
      <c r="E13" s="46">
        <f>E12+Table32[[#This Row],[Masuk]]</f>
        <v>3091500</v>
      </c>
    </row>
    <row r="14" spans="1:5" ht="15.75" thickBot="1" x14ac:dyDescent="0.3">
      <c r="A14" s="329">
        <v>45681</v>
      </c>
      <c r="B14" s="54" t="s">
        <v>147</v>
      </c>
      <c r="C14" s="55">
        <v>155000</v>
      </c>
      <c r="D14" s="17" t="s">
        <v>17</v>
      </c>
      <c r="E14" s="46">
        <f>E13-Table32[[#This Row],[Keluar]]</f>
        <v>2936500</v>
      </c>
    </row>
    <row r="15" spans="1:5" ht="15.75" thickBot="1" x14ac:dyDescent="0.3">
      <c r="A15" s="330"/>
      <c r="B15" s="56" t="s">
        <v>148</v>
      </c>
      <c r="C15" s="55">
        <v>27000</v>
      </c>
      <c r="D15" s="17" t="s">
        <v>17</v>
      </c>
      <c r="E15" s="46">
        <f>E14-Table32[[#This Row],[Keluar]]</f>
        <v>2909500</v>
      </c>
    </row>
    <row r="16" spans="1:5" ht="15.75" thickBot="1" x14ac:dyDescent="0.3">
      <c r="A16" s="63">
        <v>45685</v>
      </c>
      <c r="B16" s="56" t="s">
        <v>149</v>
      </c>
      <c r="C16" s="17">
        <v>700000</v>
      </c>
      <c r="D16" s="17" t="s">
        <v>17</v>
      </c>
      <c r="E16" s="46">
        <f>E15-Table32[[#This Row],[Keluar]]</f>
        <v>2209500</v>
      </c>
    </row>
    <row r="17" spans="1:5" ht="15.75" thickBot="1" x14ac:dyDescent="0.3">
      <c r="A17" s="63">
        <v>45687</v>
      </c>
      <c r="B17" s="47" t="s">
        <v>151</v>
      </c>
      <c r="C17" s="17">
        <v>800000</v>
      </c>
      <c r="D17" s="17" t="s">
        <v>17</v>
      </c>
      <c r="E17" s="46">
        <f>E16-Table32[[#This Row],[Keluar]]</f>
        <v>1409500</v>
      </c>
    </row>
    <row r="18" spans="1:5" ht="15.75" thickBot="1" x14ac:dyDescent="0.3">
      <c r="A18" s="329">
        <v>45690</v>
      </c>
      <c r="B18" s="54" t="s">
        <v>156</v>
      </c>
      <c r="C18" s="55" t="s">
        <v>17</v>
      </c>
      <c r="D18" s="55">
        <v>10000</v>
      </c>
      <c r="E18" s="46">
        <f>E17+Table32[[#This Row],[Masuk]]</f>
        <v>1419500</v>
      </c>
    </row>
    <row r="19" spans="1:5" ht="15.75" thickBot="1" x14ac:dyDescent="0.3">
      <c r="A19" s="330"/>
      <c r="B19" s="54" t="s">
        <v>157</v>
      </c>
      <c r="C19" s="55" t="s">
        <v>17</v>
      </c>
      <c r="D19" s="55">
        <v>186500</v>
      </c>
      <c r="E19" s="46">
        <f>E18+Table32[[#This Row],[Masuk]]</f>
        <v>1606000</v>
      </c>
    </row>
    <row r="20" spans="1:5" ht="15.75" thickBot="1" x14ac:dyDescent="0.3">
      <c r="A20" s="63">
        <v>45692</v>
      </c>
      <c r="B20" s="49" t="s">
        <v>151</v>
      </c>
      <c r="C20" s="55" t="s">
        <v>17</v>
      </c>
      <c r="D20" s="55">
        <v>800000</v>
      </c>
      <c r="E20" s="46">
        <f>E19+Table32[[#This Row],[Masuk]]</f>
        <v>2406000</v>
      </c>
    </row>
    <row r="21" spans="1:5" ht="15.75" thickBot="1" x14ac:dyDescent="0.3">
      <c r="B21" s="54" t="s">
        <v>173</v>
      </c>
      <c r="C21" s="55" t="s">
        <v>17</v>
      </c>
      <c r="D21" s="55"/>
      <c r="E21" s="46"/>
    </row>
    <row r="22" spans="1:5" ht="15.75" thickBot="1" x14ac:dyDescent="0.3">
      <c r="B22" s="54"/>
      <c r="C22" s="55" t="s">
        <v>17</v>
      </c>
      <c r="D22" s="55"/>
      <c r="E22" s="46"/>
    </row>
    <row r="23" spans="1:5" ht="15.75" thickBot="1" x14ac:dyDescent="0.3">
      <c r="B23" s="54"/>
      <c r="C23" s="55" t="s">
        <v>17</v>
      </c>
      <c r="D23" s="55"/>
      <c r="E23" s="46"/>
    </row>
    <row r="24" spans="1:5" ht="15.75" thickBot="1" x14ac:dyDescent="0.3">
      <c r="B24" s="54"/>
      <c r="C24" s="55" t="s">
        <v>17</v>
      </c>
      <c r="D24" s="55"/>
      <c r="E24" s="46"/>
    </row>
    <row r="25" spans="1:5" ht="15.75" thickBot="1" x14ac:dyDescent="0.3">
      <c r="B25" s="54"/>
      <c r="C25" s="55" t="s">
        <v>17</v>
      </c>
      <c r="D25" s="55"/>
      <c r="E25" s="46"/>
    </row>
    <row r="26" spans="1:5" x14ac:dyDescent="0.25">
      <c r="E26" t="s">
        <v>150</v>
      </c>
    </row>
  </sheetData>
  <mergeCells count="6">
    <mergeCell ref="A18:A19"/>
    <mergeCell ref="A7:A10"/>
    <mergeCell ref="A11:A13"/>
    <mergeCell ref="A2:A3"/>
    <mergeCell ref="A4:A5"/>
    <mergeCell ref="A14:A15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Saldo Aktif Tahunan</vt:lpstr>
      <vt:lpstr>Draf</vt:lpstr>
      <vt:lpstr>LK Tahunan</vt:lpstr>
      <vt:lpstr>Peminjaman saldo aktif</vt:lpstr>
      <vt:lpstr>Rekapitulasi LK Program perQism</vt:lpstr>
      <vt:lpstr>kenangan bego-begonya</vt:lpstr>
      <vt:lpstr>'LK Tahunan'!Print_Area</vt:lpstr>
      <vt:lpstr>'Saldo Aktif Tahunan'!Print_Area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2025-06-08T12:50:05Z</cp:lastPrinted>
  <dcterms:created xsi:type="dcterms:W3CDTF">2024-10-21T12:35:49Z</dcterms:created>
  <dcterms:modified xsi:type="dcterms:W3CDTF">2025-06-15T02:26:53Z</dcterms:modified>
</cp:coreProperties>
</file>